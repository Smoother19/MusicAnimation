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S\Semestre_2\SummerSchool\MusicAnimation\docs\presentation\"/>
    </mc:Choice>
  </mc:AlternateContent>
  <xr:revisionPtr revIDLastSave="0" documentId="13_ncr:1_{EE6240DA-30CD-4B01-B4EF-FAA3AAC08A5C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Panification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3" i="1" l="1" a="1"/>
  <c r="F33" i="1" a="1"/>
  <c r="H33" i="1" s="1"/>
  <c r="G32" i="1" a="1"/>
  <c r="F32" i="1" a="1"/>
  <c r="H32" i="1" s="1"/>
  <c r="G26" i="1" a="1"/>
  <c r="F26" i="1" a="1"/>
  <c r="H26" i="1" s="1"/>
  <c r="F30" i="1" a="1"/>
  <c r="G29" i="1" a="1"/>
  <c r="G24" i="1" a="1"/>
  <c r="F23" i="1" a="1"/>
  <c r="G30" i="1" a="1"/>
  <c r="G20" i="1" a="1"/>
  <c r="G28" i="1" a="1"/>
  <c r="F24" i="1" a="1"/>
  <c r="F31" i="1" a="1"/>
  <c r="G35" i="1" a="1"/>
  <c r="G34" i="1" s="1"/>
  <c r="G25" i="1" a="1"/>
  <c r="F22" i="1" a="1"/>
  <c r="G21" i="1" a="1"/>
  <c r="G22" i="1" a="1"/>
  <c r="G23" i="1" a="1"/>
  <c r="F29" i="1" a="1"/>
  <c r="F28" i="1" a="1"/>
  <c r="F35" i="1" a="1"/>
  <c r="F34" i="1" s="1"/>
  <c r="F20" i="1" a="1"/>
  <c r="G31" i="1" a="1"/>
  <c r="G17" i="1" a="1"/>
  <c r="F17" i="1" a="1"/>
  <c r="F12" i="1" a="1"/>
  <c r="F11" i="1" a="1"/>
  <c r="F15" i="1" a="1"/>
  <c r="G12" i="1" a="1"/>
  <c r="F13" i="1" a="1"/>
  <c r="G13" i="1" a="1"/>
  <c r="F14" i="1" a="1"/>
  <c r="G14" i="1" a="1"/>
  <c r="G15" i="1" a="1"/>
  <c r="G11" i="1" a="1"/>
  <c r="F21" i="1" a="1"/>
  <c r="G18" i="1" a="1"/>
  <c r="F18" i="1" a="1"/>
  <c r="F16" i="1" a="1"/>
  <c r="G16" i="1" a="1"/>
  <c r="F8" i="1" l="1"/>
  <c r="H22" i="1"/>
  <c r="H25" i="1" s="1"/>
  <c r="H29" i="1"/>
  <c r="H21" i="1"/>
  <c r="H12" i="1"/>
  <c r="H23" i="1"/>
  <c r="H14" i="1"/>
  <c r="H24" i="1"/>
  <c r="H31" i="1"/>
  <c r="G27" i="1"/>
  <c r="H16" i="1"/>
  <c r="H28" i="1"/>
  <c r="F27" i="1"/>
  <c r="H20" i="1"/>
  <c r="F19" i="1"/>
  <c r="H15" i="1"/>
  <c r="G8" i="1"/>
  <c r="H30" i="1"/>
  <c r="G19" i="1"/>
  <c r="H11" i="1"/>
  <c r="H35" i="1"/>
  <c r="H34" i="1" s="1"/>
  <c r="H13" i="1"/>
  <c r="H17" i="1"/>
  <c r="H18" i="1"/>
  <c r="F36" i="1" l="1"/>
  <c r="H8" i="1"/>
  <c r="G36" i="1"/>
  <c r="H19" i="1"/>
  <c r="H27" i="1"/>
  <c r="H36" i="1" l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<sst xmlns="http://schemas.openxmlformats.org/spreadsheetml/2006/main" count="120" uniqueCount="50">
  <si>
    <t>Planifié</t>
  </si>
  <si>
    <t>Réel</t>
  </si>
  <si>
    <t>Ecart</t>
  </si>
  <si>
    <t>AM</t>
  </si>
  <si>
    <t>PM</t>
  </si>
  <si>
    <t>Temps planifié par jour</t>
  </si>
  <si>
    <t>Temps total planifié (en heure)</t>
  </si>
  <si>
    <t>Planifié+réel</t>
  </si>
  <si>
    <t>1. Prototype</t>
  </si>
  <si>
    <t>Research</t>
  </si>
  <si>
    <t>Create train</t>
  </si>
  <si>
    <t>Create clouds animations</t>
  </si>
  <si>
    <t>Create fireworks animations</t>
  </si>
  <si>
    <t>Create sync animation/music</t>
  </si>
  <si>
    <t>Music file --&gt; Midi</t>
  </si>
  <si>
    <t>Manage Hz ranges from midi</t>
  </si>
  <si>
    <t>Detect notes</t>
  </si>
  <si>
    <t>Planification Summer School - RailBeat</t>
  </si>
  <si>
    <t>Tous</t>
  </si>
  <si>
    <t>Alan</t>
  </si>
  <si>
    <t>Dina</t>
  </si>
  <si>
    <t>Alan, Dina</t>
  </si>
  <si>
    <t>Gabriel</t>
  </si>
  <si>
    <t>Ravaka</t>
  </si>
  <si>
    <t>Gabriel, Ravaka</t>
  </si>
  <si>
    <t>2. Alpha</t>
  </si>
  <si>
    <t>Music analysis</t>
  </si>
  <si>
    <t>Create smoke animation</t>
  </si>
  <si>
    <t>Create birds animation</t>
  </si>
  <si>
    <t>Create rain animation</t>
  </si>
  <si>
    <t>Detect differents instruments</t>
  </si>
  <si>
    <t>4. Presentation</t>
  </si>
  <si>
    <t>Prepare presentation</t>
  </si>
  <si>
    <t>Create different lands</t>
  </si>
  <si>
    <t>Low</t>
  </si>
  <si>
    <t>Medium</t>
  </si>
  <si>
    <t>High</t>
  </si>
  <si>
    <t>3. Final</t>
  </si>
  <si>
    <t>Detection of the volume</t>
  </si>
  <si>
    <t>Create flower/herbs animation</t>
  </si>
  <si>
    <t>Create Day/Night animation</t>
  </si>
  <si>
    <t>Create size based on volume</t>
  </si>
  <si>
    <t>All</t>
  </si>
  <si>
    <t>Assign to</t>
  </si>
  <si>
    <t>Risks</t>
  </si>
  <si>
    <t>Tasks</t>
  </si>
  <si>
    <t>a</t>
  </si>
  <si>
    <t>Upgrade the track</t>
  </si>
  <si>
    <t>Upgrade the visual</t>
  </si>
  <si>
    <t>Update mountain's animation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</si>
</sst>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/\ d\ mmmm"/>
  </numFmts>
  <fonts count="11">
    <font>
      <sz val="11"/>
      <color theme="1"/>
      <name val="Calibri"/>
      <family val="2"/>
      <scheme val="minor"/>
    </font>
    <font>
      <b/>
      <u/>
      <sz val="20"/>
      <color theme="1"/>
      <name val="Roboto   "/>
    </font>
    <font>
      <sz val="11"/>
      <color theme="1"/>
      <name val="Roboto   "/>
    </font>
    <font>
      <b/>
      <sz val="20"/>
      <color theme="1"/>
      <name val="Roboto   "/>
    </font>
    <font>
      <b/>
      <sz val="12"/>
      <color theme="0"/>
      <name val="Roboto   "/>
    </font>
    <font>
      <sz val="11"/>
      <color theme="0"/>
      <name val="Roboto   "/>
    </font>
    <font>
      <sz val="11"/>
      <name val="Roboto   "/>
    </font>
    <font>
      <sz val="9"/>
      <color theme="0"/>
      <name val="Roboto   "/>
    </font>
    <font>
      <sz val="14"/>
      <color theme="1"/>
      <name val="Roboto   "/>
    </font>
    <font>
      <sz val="11"/>
      <color rgb="FFFF0000"/>
      <name val="Roboto   "/>
    </font>
    <font>
      <sz val="9"/>
      <color rgb="FFFF0000"/>
      <name val="Roboto   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5C7C"/>
        <bgColor indexed="64"/>
      </patternFill>
    </fill>
    <fill>
      <patternFill patternType="solid">
        <fgColor rgb="FF350E89"/>
        <bgColor indexed="64"/>
      </patternFill>
    </fill>
    <fill>
      <patternFill patternType="solid">
        <fgColor rgb="FF006C4F"/>
        <bgColor indexed="64"/>
      </patternFill>
    </fill>
    <fill>
      <patternFill patternType="solid">
        <fgColor rgb="FFA2006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indent="1"/>
    </xf>
    <xf numFmtId="0" fontId="2" fillId="0" borderId="8" xfId="0" applyFont="1" applyBorder="1" applyAlignment="1">
      <alignment horizontal="right" indent="1"/>
    </xf>
    <xf numFmtId="0" fontId="4" fillId="0" borderId="2" xfId="0" applyFont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4" fillId="4" borderId="6" xfId="0" applyFont="1" applyFill="1" applyBorder="1" applyAlignment="1">
      <alignment horizontal="left"/>
    </xf>
    <xf numFmtId="0" fontId="4" fillId="4" borderId="0" xfId="0" applyFont="1" applyFill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0" borderId="2" xfId="0" applyFont="1" applyBorder="1" applyAlignment="1">
      <alignment horizontal="left" indent="2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0" borderId="19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4" fillId="4" borderId="1" xfId="0" applyFont="1" applyFill="1" applyBorder="1" applyAlignment="1">
      <alignment horizontal="left"/>
    </xf>
    <xf numFmtId="0" fontId="9" fillId="8" borderId="2" xfId="0" applyFont="1" applyFill="1" applyBorder="1" applyAlignment="1">
      <alignment horizontal="left" indent="2"/>
    </xf>
    <xf numFmtId="0" fontId="10" fillId="8" borderId="2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indent="2"/>
    </xf>
    <xf numFmtId="0" fontId="7" fillId="8" borderId="2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right" indent="1"/>
    </xf>
    <xf numFmtId="0" fontId="2" fillId="0" borderId="21" xfId="0" applyFont="1" applyBorder="1" applyAlignment="1">
      <alignment horizontal="right" indent="1"/>
    </xf>
    <xf numFmtId="0" fontId="4" fillId="4" borderId="9" xfId="0" applyFont="1" applyFill="1" applyBorder="1" applyAlignment="1">
      <alignment horizontal="left"/>
    </xf>
    <xf numFmtId="0" fontId="4" fillId="4" borderId="20" xfId="0" applyFont="1" applyFill="1" applyBorder="1" applyAlignment="1">
      <alignment horizontal="left"/>
    </xf>
    <xf numFmtId="0" fontId="7" fillId="9" borderId="2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164" fontId="7" fillId="9" borderId="0" xfId="0" applyNumberFormat="1" applyFont="1" applyFill="1" applyAlignment="1">
      <alignment horizontal="center" vertical="center"/>
    </xf>
    <xf numFmtId="0" fontId="7" fillId="9" borderId="22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indent="2"/>
    </xf>
    <xf numFmtId="0" fontId="2" fillId="0" borderId="4" xfId="0" applyFont="1" applyBorder="1" applyAlignment="1">
      <alignment horizontal="left" indent="2"/>
    </xf>
    <xf numFmtId="0" fontId="7" fillId="5" borderId="0" xfId="0" applyFont="1" applyFill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7" borderId="25" xfId="0" applyFont="1" applyFill="1" applyBorder="1" applyAlignment="1">
      <alignment horizontal="center" vertical="center"/>
    </xf>
    <xf numFmtId="0" fontId="7" fillId="7" borderId="26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0" fontId="10" fillId="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2" fillId="0" borderId="5" xfId="0" applyFont="1" applyBorder="1" applyAlignment="1">
      <alignment horizontal="left" indent="2"/>
    </xf>
    <xf numFmtId="0" fontId="2" fillId="0" borderId="6" xfId="0" applyFont="1" applyBorder="1" applyAlignment="1">
      <alignment horizontal="left" indent="2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2" fillId="0" borderId="9" xfId="0" applyFont="1" applyBorder="1" applyAlignment="1">
      <alignment horizontal="left" indent="2"/>
    </xf>
    <xf numFmtId="0" fontId="2" fillId="0" borderId="25" xfId="0" applyFont="1" applyBorder="1" applyAlignment="1">
      <alignment horizontal="left" indent="2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7" fillId="6" borderId="20" xfId="0" applyFont="1" applyFill="1" applyBorder="1" applyAlignment="1">
      <alignment horizontal="center" vertical="center"/>
    </xf>
    <xf numFmtId="0" fontId="7" fillId="8" borderId="25" xfId="0" applyFont="1" applyFill="1" applyBorder="1" applyAlignment="1">
      <alignment horizontal="center" vertical="center"/>
    </xf>
    <xf numFmtId="0" fontId="7" fillId="8" borderId="26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left"/>
    </xf>
    <xf numFmtId="0" fontId="4" fillId="4" borderId="6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20068"/>
      <color rgb="FF006C4F"/>
      <color rgb="FF350E89"/>
      <color rgb="FF8C2609"/>
      <color rgb="FFA990CD"/>
      <color rgb="FFE98CBF"/>
      <color rgb="FFCF8E84"/>
      <color rgb="FF8CC2E0"/>
      <color rgb="FF82CDB9"/>
      <color rgb="FF50B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CU41"/>
  <sheetViews>
    <sheetView showGridLines="0" tabSelected="1" zoomScale="70" zoomScaleNormal="70" workbookViewId="0">
      <pane xSplit="3" ySplit="7" topLeftCell="G8" activePane="bottomRight" state="frozen"/>
      <selection pane="topRight" activeCell="D1" sqref="D1"/>
      <selection pane="bottomLeft" activeCell="A6" sqref="A6"/>
      <selection pane="bottomRight" activeCell="BI15" sqref="BI15:BJ15"/>
    </sheetView>
  </sheetViews>
  <sheetFormatPr baseColWidth="10" defaultColWidth="3.265625" defaultRowHeight="13.5"/>
  <cols>
    <col min="1" max="1" width="20.265625" style="2" customWidth="1"/>
    <col min="2" max="2" width="14.86328125" style="2" customWidth="1"/>
    <col min="3" max="3" width="1.86328125" style="2" customWidth="1"/>
    <col min="4" max="5" width="19.73046875" style="2" customWidth="1"/>
    <col min="6" max="6" width="9.59765625" style="2" bestFit="1" customWidth="1"/>
    <col min="7" max="8" width="9.265625" style="2" bestFit="1" customWidth="1"/>
    <col min="9" max="9" width="0.59765625" style="2" customWidth="1"/>
    <col min="10" max="11" width="3.265625" style="2" customWidth="1"/>
    <col min="12" max="12" width="0.265625" style="2" customWidth="1"/>
    <col min="13" max="14" width="3.265625" style="2" customWidth="1"/>
    <col min="15" max="15" width="0.59765625" style="2" customWidth="1"/>
    <col min="16" max="17" width="3.265625" style="2" customWidth="1"/>
    <col min="18" max="18" width="0.265625" style="2" customWidth="1"/>
    <col min="19" max="20" width="3.265625" style="2" customWidth="1"/>
    <col min="21" max="21" width="0.59765625" style="2" customWidth="1"/>
    <col min="22" max="23" width="3.265625" style="2" customWidth="1"/>
    <col min="24" max="24" width="0.265625" style="2" customWidth="1"/>
    <col min="25" max="26" width="3.265625" style="2" customWidth="1"/>
    <col min="27" max="27" width="0.59765625" style="2" customWidth="1"/>
    <col min="28" max="29" width="3.265625" style="2" customWidth="1"/>
    <col min="30" max="30" width="0.265625" style="2" customWidth="1"/>
    <col min="31" max="32" width="3.265625" style="2" customWidth="1"/>
    <col min="33" max="33" width="0.59765625" style="2" customWidth="1"/>
    <col min="34" max="35" width="3.265625" style="2" customWidth="1"/>
    <col min="36" max="36" width="0.265625" style="2" customWidth="1"/>
    <col min="37" max="38" width="3.265625" style="2" customWidth="1"/>
    <col min="39" max="39" width="0.59765625" style="2" customWidth="1"/>
    <col min="40" max="41" width="3.265625" style="2" customWidth="1"/>
    <col min="42" max="42" width="0.265625" style="2" customWidth="1"/>
    <col min="43" max="44" width="3.265625" style="2" customWidth="1"/>
    <col min="45" max="45" width="0.59765625" style="2" customWidth="1"/>
    <col min="46" max="47" width="3.265625" style="2" customWidth="1"/>
    <col min="48" max="48" width="0.265625" style="2" customWidth="1"/>
    <col min="49" max="50" width="3.265625" style="2" customWidth="1"/>
    <col min="51" max="51" width="0.59765625" style="2" customWidth="1"/>
    <col min="52" max="53" width="3.265625" style="2" customWidth="1"/>
    <col min="54" max="54" width="0.265625" style="2" customWidth="1"/>
    <col min="55" max="56" width="3.265625" style="2" customWidth="1"/>
    <col min="57" max="57" width="0.59765625" style="2" customWidth="1"/>
    <col min="58" max="59" width="3.265625" style="2" customWidth="1"/>
    <col min="60" max="60" width="0.265625" style="2" customWidth="1"/>
    <col min="61" max="62" width="3.265625" style="2" customWidth="1"/>
    <col min="63" max="63" width="0.59765625" style="2" customWidth="1"/>
    <col min="64" max="65" width="3.265625" style="2" customWidth="1"/>
    <col min="66" max="66" width="0.265625" style="2" customWidth="1"/>
    <col min="67" max="68" width="3.265625" style="2" customWidth="1"/>
    <col min="69" max="69" width="0.59765625" style="2" customWidth="1"/>
    <col min="70" max="71" width="3.265625" style="2" customWidth="1"/>
    <col min="72" max="72" width="0.265625" style="2" customWidth="1"/>
    <col min="73" max="74" width="3.265625" style="2" customWidth="1"/>
    <col min="75" max="75" width="0.59765625" style="2" customWidth="1"/>
    <col min="76" max="77" width="3.265625" style="2" customWidth="1"/>
    <col min="78" max="78" width="0.265625" style="2" customWidth="1"/>
    <col min="79" max="80" width="3.265625" style="2" customWidth="1"/>
    <col min="81" max="81" width="0.59765625" style="2" customWidth="1"/>
    <col min="82" max="83" width="3.265625" style="2" customWidth="1"/>
    <col min="84" max="84" width="0.265625" style="2" customWidth="1"/>
    <col min="85" max="86" width="3.265625" style="2" customWidth="1"/>
    <col min="87" max="87" width="0.59765625" style="2" customWidth="1"/>
    <col min="88" max="88" width="3.86328125" style="2" customWidth="1"/>
    <col min="89" max="89" width="4.265625" style="2" customWidth="1"/>
    <col min="90" max="90" width="0.265625" style="2" customWidth="1"/>
    <col min="91" max="91" width="4.1328125" style="2" customWidth="1"/>
    <col min="92" max="92" width="5" style="2" customWidth="1"/>
    <col min="93" max="93" width="0.53125" style="2" customWidth="1"/>
    <col min="94" max="94" width="5.1328125" style="2" customWidth="1"/>
    <col min="95" max="95" width="4" style="2" customWidth="1"/>
    <col min="96" max="96" width="0.265625" style="2" customWidth="1"/>
    <col min="97" max="97" width="3.73046875" style="2" customWidth="1"/>
    <col min="98" max="98" width="4.3984375" style="2" customWidth="1"/>
    <col min="99" max="99" width="0.59765625" style="2" customWidth="1"/>
    <col min="100" max="16384" width="3.265625" style="2"/>
  </cols>
  <sheetData>
    <row r="1" spans="1:99" ht="25.15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99" ht="25.15">
      <c r="A2" s="3"/>
      <c r="B2" s="4"/>
      <c r="C2" s="4"/>
      <c r="D2" s="4"/>
      <c r="E2" s="4"/>
      <c r="F2" s="4"/>
      <c r="G2" s="111" t="s">
        <v>0</v>
      </c>
      <c r="H2" s="111"/>
      <c r="J2" s="112" t="s">
        <v>1</v>
      </c>
      <c r="K2" s="112"/>
      <c r="L2" s="112"/>
      <c r="M2" s="112"/>
      <c r="N2" s="112"/>
      <c r="P2" s="118" t="s">
        <v>7</v>
      </c>
      <c r="Q2" s="118"/>
      <c r="R2" s="118"/>
      <c r="S2" s="118"/>
      <c r="T2" s="118"/>
    </row>
    <row r="6" spans="1:99" ht="15">
      <c r="A6" s="104" t="s">
        <v>45</v>
      </c>
      <c r="B6" s="104"/>
      <c r="C6" s="105"/>
      <c r="D6" s="15" t="s">
        <v>43</v>
      </c>
      <c r="E6" s="17" t="s">
        <v>44</v>
      </c>
      <c r="F6" s="5"/>
      <c r="G6" s="5"/>
      <c r="H6" s="6"/>
      <c r="I6" s="7"/>
      <c r="J6" s="98">
        <v>46251</v>
      </c>
      <c r="K6" s="98"/>
      <c r="L6" s="98"/>
      <c r="M6" s="98"/>
      <c r="N6" s="98"/>
      <c r="P6" s="98">
        <v>46252</v>
      </c>
      <c r="Q6" s="98"/>
      <c r="R6" s="98"/>
      <c r="S6" s="98"/>
      <c r="T6" s="98"/>
      <c r="V6" s="98">
        <v>46253</v>
      </c>
      <c r="W6" s="98"/>
      <c r="X6" s="98"/>
      <c r="Y6" s="98"/>
      <c r="Z6" s="98"/>
      <c r="AB6" s="98">
        <v>46254</v>
      </c>
      <c r="AC6" s="98"/>
      <c r="AD6" s="98"/>
      <c r="AE6" s="98"/>
      <c r="AF6" s="98"/>
      <c r="AH6" s="98">
        <v>46255</v>
      </c>
      <c r="AI6" s="98"/>
      <c r="AJ6" s="98"/>
      <c r="AK6" s="98"/>
      <c r="AL6" s="98"/>
      <c r="AN6" s="98">
        <v>46258</v>
      </c>
      <c r="AO6" s="98"/>
      <c r="AP6" s="98"/>
      <c r="AQ6" s="98"/>
      <c r="AR6" s="98"/>
      <c r="AT6" s="98">
        <v>46259</v>
      </c>
      <c r="AU6" s="98"/>
      <c r="AV6" s="98"/>
      <c r="AW6" s="98"/>
      <c r="AX6" s="98"/>
      <c r="AZ6" s="98">
        <v>46260</v>
      </c>
      <c r="BA6" s="98"/>
      <c r="BB6" s="98"/>
      <c r="BC6" s="98"/>
      <c r="BD6" s="98"/>
      <c r="BF6" s="98">
        <v>46261</v>
      </c>
      <c r="BG6" s="98"/>
      <c r="BH6" s="98"/>
      <c r="BI6" s="98"/>
      <c r="BJ6" s="98"/>
      <c r="BL6" s="98">
        <v>46262</v>
      </c>
      <c r="BM6" s="98"/>
      <c r="BN6" s="98"/>
      <c r="BO6" s="98"/>
      <c r="BP6" s="98"/>
      <c r="BR6" s="98">
        <v>46263</v>
      </c>
      <c r="BS6" s="98"/>
      <c r="BT6" s="98"/>
      <c r="BU6" s="98"/>
      <c r="BV6" s="98"/>
      <c r="BX6" s="98">
        <v>46264</v>
      </c>
      <c r="BY6" s="98"/>
      <c r="BZ6" s="98"/>
      <c r="CA6" s="98"/>
      <c r="CB6" s="98"/>
      <c r="CD6" s="98">
        <v>46265</v>
      </c>
      <c r="CE6" s="98"/>
      <c r="CF6" s="98"/>
      <c r="CG6" s="98"/>
      <c r="CH6" s="98"/>
      <c r="CJ6" s="98">
        <v>46266</v>
      </c>
      <c r="CK6" s="98"/>
      <c r="CL6" s="98"/>
      <c r="CM6" s="98"/>
      <c r="CN6" s="98"/>
      <c r="CP6" s="98">
        <v>46267</v>
      </c>
      <c r="CQ6" s="98"/>
      <c r="CR6" s="98"/>
      <c r="CS6" s="98"/>
      <c r="CT6" s="98"/>
    </row>
    <row r="7" spans="1:99" s="8" customFormat="1">
      <c r="C7" s="9"/>
      <c r="D7" s="61"/>
      <c r="E7" s="62"/>
      <c r="F7" s="8" t="s">
        <v>0</v>
      </c>
      <c r="G7" s="8" t="s">
        <v>1</v>
      </c>
      <c r="H7" s="8" t="s">
        <v>2</v>
      </c>
      <c r="I7" s="10"/>
      <c r="J7" s="99" t="s">
        <v>3</v>
      </c>
      <c r="K7" s="100"/>
      <c r="L7" s="26"/>
      <c r="M7" s="99" t="s">
        <v>4</v>
      </c>
      <c r="N7" s="100"/>
      <c r="P7" s="99" t="s">
        <v>3</v>
      </c>
      <c r="Q7" s="100"/>
      <c r="R7" s="26"/>
      <c r="S7" s="99" t="s">
        <v>4</v>
      </c>
      <c r="T7" s="100"/>
      <c r="V7" s="99" t="s">
        <v>3</v>
      </c>
      <c r="W7" s="100"/>
      <c r="X7" s="26"/>
      <c r="Y7" s="99" t="s">
        <v>4</v>
      </c>
      <c r="Z7" s="100"/>
      <c r="AB7" s="99" t="s">
        <v>3</v>
      </c>
      <c r="AC7" s="100"/>
      <c r="AD7" s="26"/>
      <c r="AE7" s="99" t="s">
        <v>4</v>
      </c>
      <c r="AF7" s="100"/>
      <c r="AH7" s="99" t="s">
        <v>3</v>
      </c>
      <c r="AI7" s="100"/>
      <c r="AJ7" s="26"/>
      <c r="AK7" s="99" t="s">
        <v>4</v>
      </c>
      <c r="AL7" s="100"/>
      <c r="AN7" s="99" t="s">
        <v>3</v>
      </c>
      <c r="AO7" s="100"/>
      <c r="AP7" s="26"/>
      <c r="AQ7" s="99" t="s">
        <v>4</v>
      </c>
      <c r="AR7" s="100"/>
      <c r="AT7" s="99" t="s">
        <v>3</v>
      </c>
      <c r="AU7" s="100"/>
      <c r="AV7" s="26"/>
      <c r="AW7" s="99" t="s">
        <v>4</v>
      </c>
      <c r="AX7" s="100"/>
      <c r="AZ7" s="99" t="s">
        <v>3</v>
      </c>
      <c r="BA7" s="100"/>
      <c r="BB7" s="26"/>
      <c r="BC7" s="99" t="s">
        <v>4</v>
      </c>
      <c r="BD7" s="100"/>
      <c r="BF7" s="99" t="s">
        <v>3</v>
      </c>
      <c r="BG7" s="100"/>
      <c r="BH7" s="26"/>
      <c r="BI7" s="99" t="s">
        <v>4</v>
      </c>
      <c r="BJ7" s="100"/>
      <c r="BL7" s="99" t="s">
        <v>3</v>
      </c>
      <c r="BM7" s="100"/>
      <c r="BN7" s="26"/>
      <c r="BO7" s="99" t="s">
        <v>4</v>
      </c>
      <c r="BP7" s="100"/>
      <c r="BR7" s="99" t="s">
        <v>3</v>
      </c>
      <c r="BS7" s="100"/>
      <c r="BT7" s="26"/>
      <c r="BU7" s="99" t="s">
        <v>4</v>
      </c>
      <c r="BV7" s="100"/>
      <c r="BX7" s="99" t="s">
        <v>3</v>
      </c>
      <c r="BY7" s="100"/>
      <c r="BZ7" s="26"/>
      <c r="CA7" s="99" t="s">
        <v>4</v>
      </c>
      <c r="CB7" s="100"/>
      <c r="CD7" s="99" t="s">
        <v>3</v>
      </c>
      <c r="CE7" s="100"/>
      <c r="CF7" s="26"/>
      <c r="CG7" s="99" t="s">
        <v>4</v>
      </c>
      <c r="CH7" s="100"/>
      <c r="CJ7" s="99" t="s">
        <v>3</v>
      </c>
      <c r="CK7" s="100"/>
      <c r="CL7" s="26"/>
      <c r="CM7" s="99" t="s">
        <v>4</v>
      </c>
      <c r="CN7" s="100"/>
      <c r="CP7" s="99" t="s">
        <v>3</v>
      </c>
      <c r="CQ7" s="100"/>
      <c r="CR7" s="26"/>
      <c r="CS7" s="99" t="s">
        <v>4</v>
      </c>
      <c r="CT7" s="100"/>
    </row>
    <row r="8" spans="1:99" s="8" customFormat="1" ht="15">
      <c r="A8" s="104" t="s">
        <v>8</v>
      </c>
      <c r="B8" s="104"/>
      <c r="C8" s="105"/>
      <c r="D8" s="15" t="s">
        <v>42</v>
      </c>
      <c r="E8" s="64"/>
      <c r="F8" s="5">
        <f>SUM(F11:F18)</f>
        <v>15</v>
      </c>
      <c r="G8" s="5">
        <f>SUM(G11:G18)</f>
        <v>15</v>
      </c>
      <c r="H8" s="6">
        <f>SUM(H11:H18)</f>
        <v>0</v>
      </c>
      <c r="I8" s="11"/>
      <c r="J8" s="12"/>
      <c r="K8" s="13"/>
      <c r="L8" s="13"/>
      <c r="M8" s="13"/>
      <c r="N8" s="14"/>
      <c r="P8" s="12"/>
      <c r="Q8" s="13"/>
      <c r="R8" s="13"/>
      <c r="S8" s="13"/>
      <c r="T8" s="14"/>
      <c r="V8" s="12"/>
      <c r="W8" s="13"/>
      <c r="X8" s="13"/>
      <c r="Y8" s="13"/>
      <c r="Z8" s="14"/>
      <c r="AB8" s="12"/>
      <c r="AC8" s="13"/>
      <c r="AD8" s="13"/>
      <c r="AE8" s="13"/>
      <c r="AF8" s="14"/>
      <c r="AH8" s="12"/>
      <c r="AI8" s="13"/>
      <c r="AJ8" s="13"/>
      <c r="AK8" s="13"/>
      <c r="AL8" s="14"/>
      <c r="AN8" s="12"/>
      <c r="AO8" s="13"/>
      <c r="AP8" s="13"/>
      <c r="AQ8" s="13"/>
      <c r="AR8" s="14"/>
      <c r="AT8" s="12"/>
      <c r="AU8" s="13"/>
      <c r="AV8" s="13"/>
      <c r="AW8" s="13"/>
      <c r="AX8" s="14"/>
      <c r="AZ8" s="12"/>
      <c r="BA8" s="13"/>
      <c r="BB8" s="13"/>
      <c r="BC8" s="13"/>
      <c r="BD8" s="14"/>
      <c r="BF8" s="12"/>
      <c r="BG8" s="13"/>
      <c r="BH8" s="13"/>
      <c r="BI8" s="13"/>
      <c r="BJ8" s="14"/>
      <c r="BL8" s="12"/>
      <c r="BM8" s="13"/>
      <c r="BN8" s="13"/>
      <c r="BO8" s="13"/>
      <c r="BP8" s="14"/>
      <c r="BR8" s="12"/>
      <c r="BS8" s="13"/>
      <c r="BT8" s="13"/>
      <c r="BU8" s="13"/>
      <c r="BV8" s="14"/>
      <c r="BX8" s="12"/>
      <c r="BY8" s="13"/>
      <c r="BZ8" s="13"/>
      <c r="CA8" s="13"/>
      <c r="CB8" s="14"/>
      <c r="CD8" s="12"/>
      <c r="CE8" s="13"/>
      <c r="CF8" s="13"/>
      <c r="CG8" s="13"/>
      <c r="CH8" s="14"/>
      <c r="CJ8" s="12"/>
      <c r="CK8" s="13"/>
      <c r="CL8" s="13"/>
      <c r="CM8" s="13"/>
      <c r="CN8" s="14"/>
      <c r="CP8" s="12"/>
      <c r="CQ8" s="13"/>
      <c r="CR8" s="13"/>
      <c r="CS8" s="13"/>
      <c r="CT8" s="14"/>
    </row>
    <row r="9" spans="1:99" s="8" customFormat="1" ht="15" hidden="1" customHeight="1">
      <c r="A9" s="15"/>
      <c r="B9" s="16"/>
      <c r="C9" s="16"/>
      <c r="D9" s="46"/>
      <c r="E9" s="63"/>
      <c r="F9" s="18"/>
      <c r="G9" s="18"/>
      <c r="H9" s="18">
        <v>10</v>
      </c>
      <c r="I9" s="11"/>
      <c r="J9" s="19"/>
      <c r="K9" s="20"/>
      <c r="L9" s="20"/>
      <c r="M9" s="20"/>
      <c r="N9" s="21"/>
      <c r="P9" s="19"/>
      <c r="Q9" s="20"/>
      <c r="R9" s="20"/>
      <c r="S9" s="20"/>
      <c r="T9" s="21"/>
      <c r="V9" s="19"/>
      <c r="W9" s="20"/>
      <c r="X9" s="20"/>
      <c r="Y9" s="20"/>
      <c r="Z9" s="21"/>
      <c r="AB9" s="19"/>
      <c r="AC9" s="20"/>
      <c r="AD9" s="20"/>
      <c r="AE9" s="20"/>
      <c r="AF9" s="21"/>
      <c r="AH9" s="19"/>
      <c r="AI9" s="20"/>
      <c r="AJ9" s="20"/>
      <c r="AK9" s="20"/>
      <c r="AL9" s="21"/>
      <c r="AN9" s="19"/>
      <c r="AO9" s="20"/>
      <c r="AP9" s="20"/>
      <c r="AQ9" s="20"/>
      <c r="AR9" s="21"/>
      <c r="AT9" s="19"/>
      <c r="AU9" s="20"/>
      <c r="AV9" s="20"/>
      <c r="AW9" s="20"/>
      <c r="AX9" s="21"/>
      <c r="AZ9" s="19"/>
      <c r="BA9" s="20"/>
      <c r="BB9" s="20"/>
      <c r="BC9" s="20"/>
      <c r="BD9" s="21"/>
      <c r="BF9" s="19"/>
      <c r="BG9" s="20"/>
      <c r="BH9" s="20"/>
      <c r="BI9" s="20"/>
      <c r="BJ9" s="21"/>
      <c r="BL9" s="19"/>
      <c r="BM9" s="20"/>
      <c r="BN9" s="20"/>
      <c r="BO9" s="20"/>
      <c r="BP9" s="21"/>
      <c r="BR9" s="19"/>
      <c r="BS9" s="20"/>
      <c r="BT9" s="20"/>
      <c r="BU9" s="20"/>
      <c r="BV9" s="21"/>
      <c r="BX9" s="19"/>
      <c r="BY9" s="20"/>
      <c r="BZ9" s="20"/>
      <c r="CA9" s="20"/>
      <c r="CB9" s="21"/>
      <c r="CD9" s="19"/>
      <c r="CE9" s="20"/>
      <c r="CF9" s="20"/>
      <c r="CG9" s="20"/>
      <c r="CH9" s="21"/>
      <c r="CJ9" s="19"/>
      <c r="CK9" s="20"/>
      <c r="CL9" s="20"/>
      <c r="CM9" s="20"/>
      <c r="CN9" s="21"/>
      <c r="CP9" s="19"/>
      <c r="CQ9" s="20"/>
      <c r="CR9" s="20"/>
      <c r="CS9" s="20"/>
      <c r="CT9" s="21"/>
    </row>
    <row r="10" spans="1:99" s="8" customFormat="1" ht="15" hidden="1" customHeight="1">
      <c r="A10" s="15"/>
      <c r="B10" s="16"/>
      <c r="C10" s="16"/>
      <c r="D10" s="46"/>
      <c r="E10" s="46"/>
      <c r="F10" s="18"/>
      <c r="G10" s="18"/>
      <c r="H10" s="18">
        <v>-10</v>
      </c>
      <c r="I10" s="11"/>
      <c r="J10" s="19"/>
      <c r="K10" s="20"/>
      <c r="L10" s="20"/>
      <c r="M10" s="20"/>
      <c r="N10" s="21"/>
      <c r="P10" s="19"/>
      <c r="Q10" s="20"/>
      <c r="R10" s="20"/>
      <c r="S10" s="20"/>
      <c r="T10" s="21"/>
      <c r="V10" s="19"/>
      <c r="W10" s="20"/>
      <c r="X10" s="20"/>
      <c r="Y10" s="20"/>
      <c r="Z10" s="21"/>
      <c r="AB10" s="19"/>
      <c r="AC10" s="20"/>
      <c r="AD10" s="20"/>
      <c r="AE10" s="20"/>
      <c r="AF10" s="21"/>
      <c r="AH10" s="19"/>
      <c r="AI10" s="20"/>
      <c r="AJ10" s="20"/>
      <c r="AK10" s="20"/>
      <c r="AL10" s="21"/>
      <c r="AN10" s="19"/>
      <c r="AO10" s="20"/>
      <c r="AP10" s="20"/>
      <c r="AQ10" s="20"/>
      <c r="AR10" s="21"/>
      <c r="AT10" s="19"/>
      <c r="AU10" s="20"/>
      <c r="AV10" s="20"/>
      <c r="AW10" s="20"/>
      <c r="AX10" s="21"/>
      <c r="AZ10" s="19"/>
      <c r="BA10" s="20"/>
      <c r="BB10" s="20"/>
      <c r="BC10" s="20"/>
      <c r="BD10" s="21"/>
      <c r="BF10" s="19"/>
      <c r="BG10" s="20"/>
      <c r="BH10" s="20"/>
      <c r="BI10" s="20"/>
      <c r="BJ10" s="21"/>
      <c r="BL10" s="19"/>
      <c r="BM10" s="20"/>
      <c r="BN10" s="20"/>
      <c r="BO10" s="20"/>
      <c r="BP10" s="21"/>
      <c r="BR10" s="19"/>
      <c r="BS10" s="20"/>
      <c r="BT10" s="20"/>
      <c r="BU10" s="20"/>
      <c r="BV10" s="21"/>
      <c r="BX10" s="19"/>
      <c r="BY10" s="20"/>
      <c r="BZ10" s="20"/>
      <c r="CA10" s="20"/>
      <c r="CB10" s="21"/>
      <c r="CD10" s="19"/>
      <c r="CE10" s="20"/>
      <c r="CF10" s="20"/>
      <c r="CG10" s="20"/>
      <c r="CH10" s="21"/>
      <c r="CJ10" s="19"/>
      <c r="CK10" s="20"/>
      <c r="CL10" s="20"/>
      <c r="CM10" s="20"/>
      <c r="CN10" s="21"/>
      <c r="CP10" s="19"/>
      <c r="CQ10" s="20"/>
      <c r="CR10" s="20"/>
      <c r="CS10" s="20"/>
      <c r="CT10" s="21"/>
    </row>
    <row r="11" spans="1:99" s="30" customFormat="1">
      <c r="A11" s="75" t="s">
        <v>9</v>
      </c>
      <c r="B11" s="106"/>
      <c r="C11" s="107"/>
      <c r="D11" s="58" t="s">
        <v>18</v>
      </c>
      <c r="E11" s="58" t="s">
        <v>34</v>
      </c>
      <c r="F11" s="22" cm="1">
        <f t="array" ref="F11">SommeSiCouleurPlage($J11:$CU11,getCouleur($G$39))+SommeSiCouleurPlage($J11:$CU11,getCouleur($P$39))</f>
        <v>0.5</v>
      </c>
      <c r="G11" s="22" cm="1">
        <f t="array" ref="G11">SommeSiCouleurPlage($J11:$CU11,getCouleur($J$39))+SommeSiCouleurPlage($J11:$CU11,getCouleur($P$39))</f>
        <v>0.5</v>
      </c>
      <c r="H11" s="22">
        <f>F11-G11</f>
        <v>0</v>
      </c>
      <c r="I11" s="23"/>
      <c r="J11" s="72"/>
      <c r="K11" s="73"/>
      <c r="L11" s="44"/>
      <c r="M11" s="115">
        <v>0.5</v>
      </c>
      <c r="N11" s="116"/>
      <c r="O11" s="27"/>
      <c r="P11" s="65"/>
      <c r="Q11" s="68"/>
      <c r="R11" s="42"/>
      <c r="S11" s="24"/>
      <c r="T11" s="28"/>
      <c r="U11" s="27"/>
      <c r="V11" s="24"/>
      <c r="W11" s="28"/>
      <c r="X11" s="26"/>
      <c r="Y11" s="25"/>
      <c r="Z11" s="28"/>
      <c r="AA11" s="27"/>
      <c r="AB11" s="24"/>
      <c r="AC11" s="28"/>
      <c r="AD11" s="26"/>
      <c r="AE11" s="25"/>
      <c r="AF11" s="28"/>
      <c r="AG11" s="27"/>
      <c r="AH11" s="65"/>
      <c r="AI11" s="66"/>
      <c r="AJ11" s="26"/>
      <c r="AK11" s="78"/>
      <c r="AL11" s="79"/>
      <c r="AM11" s="27"/>
      <c r="AN11" s="78"/>
      <c r="AO11" s="79"/>
      <c r="AP11" s="26"/>
      <c r="AQ11" s="78"/>
      <c r="AR11" s="79"/>
      <c r="AS11" s="27"/>
      <c r="AT11" s="78"/>
      <c r="AU11" s="79"/>
      <c r="AV11" s="26"/>
      <c r="AW11" s="78"/>
      <c r="AX11" s="79"/>
      <c r="AY11" s="27"/>
      <c r="AZ11" s="78"/>
      <c r="BA11" s="79"/>
      <c r="BB11" s="26"/>
      <c r="BC11" s="78"/>
      <c r="BD11" s="79"/>
      <c r="BE11" s="27"/>
      <c r="BF11" s="78"/>
      <c r="BG11" s="79"/>
      <c r="BH11" s="26"/>
      <c r="BI11" s="78"/>
      <c r="BJ11" s="79"/>
      <c r="BK11" s="27"/>
      <c r="BL11" s="65"/>
      <c r="BM11" s="66"/>
      <c r="BN11" s="26"/>
      <c r="BO11" s="78"/>
      <c r="BP11" s="79"/>
      <c r="BQ11" s="29"/>
      <c r="BR11" s="78"/>
      <c r="BS11" s="79"/>
      <c r="BT11" s="26"/>
      <c r="BU11" s="78"/>
      <c r="BV11" s="79"/>
      <c r="BW11" s="29"/>
      <c r="BX11" s="78"/>
      <c r="BY11" s="79"/>
      <c r="BZ11" s="26"/>
      <c r="CA11" s="78"/>
      <c r="CB11" s="79"/>
      <c r="CC11" s="29"/>
      <c r="CD11" s="78"/>
      <c r="CE11" s="79"/>
      <c r="CF11" s="26"/>
      <c r="CG11" s="78"/>
      <c r="CH11" s="79"/>
      <c r="CI11" s="27"/>
      <c r="CJ11" s="78"/>
      <c r="CK11" s="79"/>
      <c r="CL11" s="26"/>
      <c r="CM11" s="78"/>
      <c r="CN11" s="79"/>
      <c r="CO11" s="29"/>
      <c r="CP11" s="78"/>
      <c r="CQ11" s="79"/>
      <c r="CR11" s="26"/>
      <c r="CS11" s="78"/>
      <c r="CT11" s="79"/>
      <c r="CU11" s="29"/>
    </row>
    <row r="12" spans="1:99" s="30" customFormat="1" ht="15" customHeight="1">
      <c r="A12" s="75" t="s">
        <v>10</v>
      </c>
      <c r="B12" s="106"/>
      <c r="C12" s="107"/>
      <c r="D12" s="59" t="s">
        <v>19</v>
      </c>
      <c r="E12" s="59" t="s">
        <v>34</v>
      </c>
      <c r="F12" s="31" cm="1">
        <f t="array" ref="F12">SommeSiCouleurPlage($J12:$CU12,getCouleur($G$39))+SommeSiCouleurPlage($J12:$CU12,getCouleur($P$39))</f>
        <v>2.5</v>
      </c>
      <c r="G12" s="31" cm="1">
        <f t="array" ref="G12">SommeSiCouleurPlage($J12:$CU12,getCouleur($J$39))+SommeSiCouleurPlage($J12:$CU12,getCouleur($P$39))</f>
        <v>2.5</v>
      </c>
      <c r="H12" s="31">
        <f t="shared" ref="H12:H35" si="0">F12-G12</f>
        <v>0</v>
      </c>
      <c r="I12" s="23"/>
      <c r="J12" s="65"/>
      <c r="K12" s="66"/>
      <c r="L12" s="26"/>
      <c r="M12" s="115">
        <v>0.5</v>
      </c>
      <c r="N12" s="117"/>
      <c r="O12" s="27"/>
      <c r="P12" s="65"/>
      <c r="Q12" s="68"/>
      <c r="R12" s="54"/>
      <c r="S12" s="115">
        <v>1</v>
      </c>
      <c r="T12" s="116"/>
      <c r="U12" s="54"/>
      <c r="V12" s="117">
        <v>1</v>
      </c>
      <c r="W12" s="116"/>
      <c r="X12" s="54"/>
      <c r="Y12" s="48"/>
      <c r="Z12" s="51"/>
      <c r="AA12" s="51"/>
      <c r="AB12" s="48"/>
      <c r="AC12" s="49"/>
      <c r="AD12" s="50"/>
      <c r="AE12" s="49"/>
      <c r="AF12" s="51"/>
      <c r="AG12" s="27"/>
      <c r="AH12" s="65"/>
      <c r="AI12" s="66"/>
      <c r="AJ12" s="26"/>
      <c r="AK12" s="80"/>
      <c r="AL12" s="81"/>
      <c r="AM12" s="27"/>
      <c r="AN12" s="80"/>
      <c r="AO12" s="81"/>
      <c r="AP12" s="26"/>
      <c r="AQ12" s="80"/>
      <c r="AR12" s="81"/>
      <c r="AS12" s="27"/>
      <c r="AT12" s="80"/>
      <c r="AU12" s="81"/>
      <c r="AV12" s="26"/>
      <c r="AW12" s="80"/>
      <c r="AX12" s="81"/>
      <c r="AY12" s="27"/>
      <c r="AZ12" s="80"/>
      <c r="BA12" s="81"/>
      <c r="BB12" s="26"/>
      <c r="BC12" s="80"/>
      <c r="BD12" s="81"/>
      <c r="BE12" s="27"/>
      <c r="BF12" s="80"/>
      <c r="BG12" s="81"/>
      <c r="BH12" s="26"/>
      <c r="BI12" s="80"/>
      <c r="BJ12" s="81"/>
      <c r="BK12" s="27"/>
      <c r="BL12" s="65"/>
      <c r="BM12" s="66"/>
      <c r="BN12" s="26"/>
      <c r="BO12" s="80"/>
      <c r="BP12" s="81"/>
      <c r="BQ12" s="29"/>
      <c r="BR12" s="80"/>
      <c r="BS12" s="81"/>
      <c r="BT12" s="26"/>
      <c r="BU12" s="80"/>
      <c r="BV12" s="81"/>
      <c r="BW12" s="29"/>
      <c r="BX12" s="80"/>
      <c r="BY12" s="81"/>
      <c r="BZ12" s="26"/>
      <c r="CA12" s="80"/>
      <c r="CB12" s="81"/>
      <c r="CC12" s="29"/>
      <c r="CD12" s="80"/>
      <c r="CE12" s="81"/>
      <c r="CF12" s="26"/>
      <c r="CG12" s="80"/>
      <c r="CH12" s="81"/>
      <c r="CI12" s="27"/>
      <c r="CJ12" s="80"/>
      <c r="CK12" s="81"/>
      <c r="CL12" s="26"/>
      <c r="CM12" s="80"/>
      <c r="CN12" s="81"/>
      <c r="CO12" s="29"/>
      <c r="CP12" s="80"/>
      <c r="CQ12" s="81"/>
      <c r="CR12" s="26"/>
      <c r="CS12" s="80"/>
      <c r="CT12" s="81"/>
      <c r="CU12" s="29"/>
    </row>
    <row r="13" spans="1:99" s="30" customFormat="1" ht="15" customHeight="1">
      <c r="A13" s="75" t="s">
        <v>11</v>
      </c>
      <c r="B13" s="106"/>
      <c r="C13" s="107"/>
      <c r="D13" s="58" t="s">
        <v>20</v>
      </c>
      <c r="E13" s="58" t="s">
        <v>34</v>
      </c>
      <c r="F13" s="22" cm="1">
        <f t="array" ref="F13">SommeSiCouleurPlage($J13:$CU13,getCouleur($G$39))+SommeSiCouleurPlage($J13:$CU13,getCouleur($P$39))</f>
        <v>2.5</v>
      </c>
      <c r="G13" s="22" cm="1">
        <f t="array" ref="G13">SommeSiCouleurPlage($J13:$CU13,getCouleur($J$39))+SommeSiCouleurPlage($J13:$CU13,getCouleur($P$39))</f>
        <v>1.5</v>
      </c>
      <c r="H13" s="22">
        <f t="shared" si="0"/>
        <v>1</v>
      </c>
      <c r="I13" s="23"/>
      <c r="J13" s="65"/>
      <c r="K13" s="66"/>
      <c r="L13" s="26"/>
      <c r="M13" s="115">
        <v>0.5</v>
      </c>
      <c r="N13" s="117"/>
      <c r="O13" s="27"/>
      <c r="P13" s="65"/>
      <c r="Q13" s="68"/>
      <c r="R13" s="42"/>
      <c r="S13" s="115">
        <v>1</v>
      </c>
      <c r="T13" s="117"/>
      <c r="U13" s="27"/>
      <c r="V13" s="84">
        <v>1</v>
      </c>
      <c r="W13" s="97"/>
      <c r="X13" s="26"/>
      <c r="Y13" s="25"/>
      <c r="Z13" s="28"/>
      <c r="AA13" s="51"/>
      <c r="AB13" s="24"/>
      <c r="AC13" s="25"/>
      <c r="AD13" s="26"/>
      <c r="AE13" s="25"/>
      <c r="AF13" s="28"/>
      <c r="AG13" s="27"/>
      <c r="AH13" s="65"/>
      <c r="AI13" s="66"/>
      <c r="AJ13" s="26"/>
      <c r="AK13" s="78"/>
      <c r="AL13" s="79"/>
      <c r="AM13" s="27"/>
      <c r="AN13" s="78"/>
      <c r="AO13" s="79"/>
      <c r="AP13" s="26"/>
      <c r="AQ13" s="78"/>
      <c r="AR13" s="79"/>
      <c r="AS13" s="27"/>
      <c r="AT13" s="78"/>
      <c r="AU13" s="79"/>
      <c r="AV13" s="26"/>
      <c r="AW13" s="78"/>
      <c r="AX13" s="79"/>
      <c r="AY13" s="27"/>
      <c r="AZ13" s="78"/>
      <c r="BA13" s="79"/>
      <c r="BB13" s="26"/>
      <c r="BC13" s="78"/>
      <c r="BD13" s="79"/>
      <c r="BE13" s="27"/>
      <c r="BF13" s="78"/>
      <c r="BG13" s="79"/>
      <c r="BH13" s="26"/>
      <c r="BI13" s="78"/>
      <c r="BJ13" s="79"/>
      <c r="BK13" s="27"/>
      <c r="BL13" s="65"/>
      <c r="BM13" s="66"/>
      <c r="BN13" s="26"/>
      <c r="BO13" s="78"/>
      <c r="BP13" s="79"/>
      <c r="BQ13" s="29"/>
      <c r="BR13" s="78"/>
      <c r="BS13" s="79"/>
      <c r="BT13" s="26"/>
      <c r="BU13" s="78"/>
      <c r="BV13" s="79"/>
      <c r="BW13" s="29"/>
      <c r="BX13" s="78"/>
      <c r="BY13" s="79"/>
      <c r="BZ13" s="26"/>
      <c r="CA13" s="78"/>
      <c r="CB13" s="79"/>
      <c r="CC13" s="29"/>
      <c r="CD13" s="78"/>
      <c r="CE13" s="79"/>
      <c r="CF13" s="26"/>
      <c r="CG13" s="78"/>
      <c r="CH13" s="79"/>
      <c r="CI13" s="27"/>
      <c r="CJ13" s="78"/>
      <c r="CK13" s="79"/>
      <c r="CL13" s="26"/>
      <c r="CM13" s="78"/>
      <c r="CN13" s="79"/>
      <c r="CO13" s="29"/>
      <c r="CP13" s="78"/>
      <c r="CQ13" s="79"/>
      <c r="CR13" s="26"/>
      <c r="CS13" s="78"/>
      <c r="CT13" s="79"/>
      <c r="CU13" s="29"/>
    </row>
    <row r="14" spans="1:99" s="30" customFormat="1">
      <c r="A14" s="75" t="s">
        <v>12</v>
      </c>
      <c r="B14" s="106"/>
      <c r="C14" s="107"/>
      <c r="D14" s="59" t="s">
        <v>20</v>
      </c>
      <c r="E14" s="59" t="s">
        <v>34</v>
      </c>
      <c r="F14" s="31" cm="1">
        <f t="array" ref="F14">SommeSiCouleurPlage($J14:$CU14,getCouleur($G$39))+SommeSiCouleurPlage($J14:$CU14,getCouleur($P$39))</f>
        <v>1</v>
      </c>
      <c r="G14" s="31" cm="1">
        <f t="array" ref="G14">SommeSiCouleurPlage($J14:$CU14,getCouleur($J$39))+SommeSiCouleurPlage($J14:$CU14,getCouleur($P$39))</f>
        <v>1</v>
      </c>
      <c r="H14" s="31">
        <f>F14-G14</f>
        <v>0</v>
      </c>
      <c r="I14" s="23"/>
      <c r="J14" s="65"/>
      <c r="K14" s="66"/>
      <c r="L14" s="26"/>
      <c r="M14" s="27"/>
      <c r="N14" s="33"/>
      <c r="O14" s="27"/>
      <c r="P14" s="65"/>
      <c r="Q14" s="66"/>
      <c r="R14" s="26"/>
      <c r="S14" s="32"/>
      <c r="T14" s="33"/>
      <c r="U14" s="27"/>
      <c r="V14" s="76">
        <v>1</v>
      </c>
      <c r="W14" s="77"/>
      <c r="X14" s="26"/>
      <c r="Y14" s="84">
        <v>1</v>
      </c>
      <c r="Z14" s="85"/>
      <c r="AA14" s="27"/>
      <c r="AB14" s="48"/>
      <c r="AC14" s="49"/>
      <c r="AD14" s="26"/>
      <c r="AE14" s="49"/>
      <c r="AF14" s="51"/>
      <c r="AG14" s="27"/>
      <c r="AH14" s="65"/>
      <c r="AI14" s="66"/>
      <c r="AJ14" s="26"/>
      <c r="AK14" s="80"/>
      <c r="AL14" s="81"/>
      <c r="AM14" s="27"/>
      <c r="AN14" s="80"/>
      <c r="AO14" s="81"/>
      <c r="AP14" s="26"/>
      <c r="AQ14" s="80" t="s">
        <v>46</v>
      </c>
      <c r="AR14" s="81"/>
      <c r="AS14" s="27"/>
      <c r="AT14" s="80"/>
      <c r="AU14" s="81"/>
      <c r="AV14" s="26"/>
      <c r="AW14" s="80"/>
      <c r="AX14" s="81"/>
      <c r="AY14" s="27"/>
      <c r="AZ14" s="80"/>
      <c r="BA14" s="81"/>
      <c r="BB14" s="26"/>
      <c r="BC14" s="80"/>
      <c r="BD14" s="81"/>
      <c r="BE14" s="27"/>
      <c r="BF14" s="80"/>
      <c r="BG14" s="81"/>
      <c r="BH14" s="26"/>
      <c r="BI14" s="80"/>
      <c r="BJ14" s="81"/>
      <c r="BK14" s="27"/>
      <c r="BL14" s="65"/>
      <c r="BM14" s="66"/>
      <c r="BN14" s="26"/>
      <c r="BO14" s="80"/>
      <c r="BP14" s="81"/>
      <c r="BQ14" s="27"/>
      <c r="BR14" s="80"/>
      <c r="BS14" s="81"/>
      <c r="BT14" s="26"/>
      <c r="BU14" s="80"/>
      <c r="BV14" s="81"/>
      <c r="BW14" s="27"/>
      <c r="BX14" s="80"/>
      <c r="BY14" s="81"/>
      <c r="BZ14" s="26"/>
      <c r="CA14" s="80"/>
      <c r="CB14" s="81"/>
      <c r="CC14" s="27"/>
      <c r="CD14" s="80"/>
      <c r="CE14" s="81"/>
      <c r="CF14" s="26"/>
      <c r="CG14" s="80"/>
      <c r="CH14" s="81"/>
      <c r="CI14" s="27"/>
      <c r="CJ14" s="80"/>
      <c r="CK14" s="81"/>
      <c r="CL14" s="26"/>
      <c r="CM14" s="80"/>
      <c r="CN14" s="81"/>
      <c r="CO14" s="27"/>
      <c r="CP14" s="80"/>
      <c r="CQ14" s="81"/>
      <c r="CR14" s="26"/>
      <c r="CS14" s="80"/>
      <c r="CT14" s="81"/>
      <c r="CU14" s="27"/>
    </row>
    <row r="15" spans="1:99" s="30" customFormat="1">
      <c r="A15" s="75" t="s">
        <v>13</v>
      </c>
      <c r="B15" s="106"/>
      <c r="C15" s="107"/>
      <c r="D15" s="58" t="s">
        <v>21</v>
      </c>
      <c r="E15" s="58" t="s">
        <v>35</v>
      </c>
      <c r="F15" s="22" cm="1">
        <f t="array" ref="F15">SommeSiCouleurPlage($J15:$CU15,getCouleur($G$39))+SommeSiCouleurPlage($J15:$CU15,getCouleur($P$39))</f>
        <v>3</v>
      </c>
      <c r="G15" s="22" cm="1">
        <f t="array" ref="G15">SommeSiCouleurPlage($J15:$CU15,getCouleur($J$39))+SommeSiCouleurPlage($J15:$CU15,getCouleur($P$39))</f>
        <v>1</v>
      </c>
      <c r="H15" s="22">
        <f t="shared" ref="H15:H17" si="1">F15-G15</f>
        <v>2</v>
      </c>
      <c r="I15" s="23"/>
      <c r="J15" s="65"/>
      <c r="K15" s="66"/>
      <c r="L15" s="26"/>
      <c r="M15" s="25"/>
      <c r="N15" s="28"/>
      <c r="O15" s="25"/>
      <c r="P15" s="65"/>
      <c r="Q15" s="66"/>
      <c r="R15" s="26"/>
      <c r="S15" s="24"/>
      <c r="T15" s="28"/>
      <c r="U15" s="25"/>
      <c r="V15" s="24"/>
      <c r="W15" s="25"/>
      <c r="X15" s="26"/>
      <c r="Y15" s="84">
        <v>1</v>
      </c>
      <c r="Z15" s="85"/>
      <c r="AA15" s="27"/>
      <c r="AB15" s="84">
        <v>1</v>
      </c>
      <c r="AC15" s="97"/>
      <c r="AD15" s="26"/>
      <c r="AE15" s="115">
        <v>1</v>
      </c>
      <c r="AF15" s="116"/>
      <c r="AG15" s="27"/>
      <c r="AH15" s="65"/>
      <c r="AI15" s="66"/>
      <c r="AJ15" s="26"/>
      <c r="AK15" s="78"/>
      <c r="AL15" s="79"/>
      <c r="AM15" s="27"/>
      <c r="AN15" s="78"/>
      <c r="AO15" s="79"/>
      <c r="AP15" s="26"/>
      <c r="AQ15" s="78"/>
      <c r="AR15" s="79"/>
      <c r="AS15" s="27"/>
      <c r="AT15" s="78"/>
      <c r="AU15" s="79"/>
      <c r="AV15" s="26"/>
      <c r="AW15" s="78"/>
      <c r="AX15" s="79"/>
      <c r="AY15" s="27"/>
      <c r="AZ15" s="78"/>
      <c r="BA15" s="79"/>
      <c r="BB15" s="26"/>
      <c r="BC15" s="78"/>
      <c r="BD15" s="79"/>
      <c r="BE15" s="27"/>
      <c r="BF15" s="78"/>
      <c r="BG15" s="79"/>
      <c r="BH15" s="26"/>
      <c r="BI15" s="78"/>
      <c r="BJ15" s="79"/>
      <c r="BK15" s="27"/>
      <c r="BL15" s="65"/>
      <c r="BM15" s="66"/>
      <c r="BN15" s="26"/>
      <c r="BO15" s="78"/>
      <c r="BP15" s="79"/>
      <c r="BQ15" s="27"/>
      <c r="BR15" s="78"/>
      <c r="BS15" s="79"/>
      <c r="BT15" s="26"/>
      <c r="BU15" s="78"/>
      <c r="BV15" s="79"/>
      <c r="BW15" s="27"/>
      <c r="BX15" s="78"/>
      <c r="BY15" s="79"/>
      <c r="BZ15" s="26"/>
      <c r="CA15" s="78"/>
      <c r="CB15" s="79"/>
      <c r="CC15" s="27"/>
      <c r="CD15" s="78"/>
      <c r="CE15" s="79"/>
      <c r="CF15" s="26"/>
      <c r="CG15" s="78"/>
      <c r="CH15" s="79"/>
      <c r="CI15" s="27"/>
      <c r="CJ15" s="78"/>
      <c r="CK15" s="79"/>
      <c r="CL15" s="26"/>
      <c r="CM15" s="78"/>
      <c r="CN15" s="79"/>
      <c r="CO15" s="27"/>
      <c r="CP15" s="78"/>
      <c r="CQ15" s="79"/>
      <c r="CR15" s="26"/>
      <c r="CS15" s="78"/>
      <c r="CT15" s="79"/>
      <c r="CU15" s="27"/>
    </row>
    <row r="16" spans="1:99" s="30" customFormat="1" ht="15" customHeight="1">
      <c r="A16" s="75" t="s">
        <v>14</v>
      </c>
      <c r="B16" s="106"/>
      <c r="C16" s="107"/>
      <c r="D16" s="60" t="s">
        <v>22</v>
      </c>
      <c r="E16" s="60" t="s">
        <v>36</v>
      </c>
      <c r="F16" s="45" cm="1">
        <f t="array" ref="F16">SommeSiCouleurPlage($J16:$CU16,getCouleur($G$39))+SommeSiCouleurPlage($J16:$CU16,getCouleur($P$39))</f>
        <v>2.5</v>
      </c>
      <c r="G16" s="45" cm="1">
        <f t="array" ref="G16">SommeSiCouleurPlage($J16:$CU16,getCouleur($J$39))+SommeSiCouleurPlage($J16:$CU16,getCouleur($P$39))</f>
        <v>2.5</v>
      </c>
      <c r="H16" s="45">
        <f t="shared" si="1"/>
        <v>0</v>
      </c>
      <c r="I16" s="47"/>
      <c r="J16" s="69"/>
      <c r="K16" s="70"/>
      <c r="L16" s="50"/>
      <c r="M16" s="115">
        <v>0.5</v>
      </c>
      <c r="N16" s="116"/>
      <c r="O16" s="49"/>
      <c r="P16" s="69"/>
      <c r="Q16" s="70"/>
      <c r="R16" s="50"/>
      <c r="S16" s="115">
        <v>1</v>
      </c>
      <c r="T16" s="116"/>
      <c r="U16" s="54"/>
      <c r="V16" s="117">
        <v>1</v>
      </c>
      <c r="W16" s="116"/>
      <c r="X16" s="50"/>
      <c r="Y16" s="49"/>
      <c r="Z16" s="51"/>
      <c r="AA16" s="51"/>
      <c r="AB16" s="48"/>
      <c r="AC16" s="49"/>
      <c r="AD16" s="50"/>
      <c r="AE16" s="49"/>
      <c r="AF16" s="51"/>
      <c r="AG16" s="49"/>
      <c r="AH16" s="69"/>
      <c r="AI16" s="70"/>
      <c r="AJ16" s="50"/>
      <c r="AK16" s="90"/>
      <c r="AL16" s="91"/>
      <c r="AM16" s="49"/>
      <c r="AN16" s="90"/>
      <c r="AO16" s="91"/>
      <c r="AP16" s="50"/>
      <c r="AQ16" s="90"/>
      <c r="AR16" s="91"/>
      <c r="AS16" s="49"/>
      <c r="AT16" s="90"/>
      <c r="AU16" s="91"/>
      <c r="AV16" s="50"/>
      <c r="AW16" s="90"/>
      <c r="AX16" s="91"/>
      <c r="AY16" s="49"/>
      <c r="AZ16" s="90"/>
      <c r="BA16" s="91"/>
      <c r="BB16" s="50"/>
      <c r="BC16" s="90"/>
      <c r="BD16" s="91"/>
      <c r="BE16" s="49"/>
      <c r="BF16" s="90"/>
      <c r="BG16" s="91"/>
      <c r="BH16" s="50"/>
      <c r="BI16" s="90"/>
      <c r="BJ16" s="91"/>
      <c r="BK16" s="49"/>
      <c r="BL16" s="69"/>
      <c r="BM16" s="70"/>
      <c r="BN16" s="50"/>
      <c r="BO16" s="90"/>
      <c r="BP16" s="91"/>
      <c r="BQ16" s="49"/>
      <c r="BR16" s="90"/>
      <c r="BS16" s="91"/>
      <c r="BT16" s="50"/>
      <c r="BU16" s="90"/>
      <c r="BV16" s="91"/>
      <c r="BW16" s="49"/>
      <c r="BX16" s="90"/>
      <c r="BY16" s="91"/>
      <c r="BZ16" s="50"/>
      <c r="CA16" s="90"/>
      <c r="CB16" s="91"/>
      <c r="CC16" s="49"/>
      <c r="CD16" s="90"/>
      <c r="CE16" s="91"/>
      <c r="CF16" s="50"/>
      <c r="CG16" s="90"/>
      <c r="CH16" s="91"/>
      <c r="CI16" s="49"/>
      <c r="CJ16" s="90"/>
      <c r="CK16" s="91"/>
      <c r="CL16" s="50"/>
      <c r="CM16" s="90"/>
      <c r="CN16" s="91"/>
      <c r="CO16" s="49"/>
      <c r="CP16" s="90"/>
      <c r="CQ16" s="91"/>
      <c r="CR16" s="50"/>
      <c r="CS16" s="90"/>
      <c r="CT16" s="91"/>
      <c r="CU16" s="49"/>
    </row>
    <row r="17" spans="1:99" s="30" customFormat="1">
      <c r="A17" s="75" t="s">
        <v>15</v>
      </c>
      <c r="B17" s="106"/>
      <c r="C17" s="107"/>
      <c r="D17" s="58" t="s">
        <v>23</v>
      </c>
      <c r="E17" s="58" t="s">
        <v>35</v>
      </c>
      <c r="F17" s="22" cm="1">
        <f t="array" ref="F17">SommeSiCouleurPlage($J17:$CU17,getCouleur($G$39))+SommeSiCouleurPlage($J17:$CU17,getCouleur($P$39))</f>
        <v>0</v>
      </c>
      <c r="G17" s="22" cm="1">
        <f t="array" ref="G17">SommeSiCouleurPlage($J17:$CU17,getCouleur($J$39))+SommeSiCouleurPlage($J17:$CU17,getCouleur($P$39))</f>
        <v>0</v>
      </c>
      <c r="H17" s="22">
        <f t="shared" si="1"/>
        <v>0</v>
      </c>
      <c r="I17" s="23"/>
      <c r="J17" s="65"/>
      <c r="K17" s="66"/>
      <c r="L17" s="26"/>
      <c r="M17" s="25"/>
      <c r="N17" s="28"/>
      <c r="O17" s="25"/>
      <c r="P17" s="65"/>
      <c r="Q17" s="66"/>
      <c r="R17" s="26"/>
      <c r="S17" s="24"/>
      <c r="T17" s="28"/>
      <c r="U17" s="25"/>
      <c r="V17" s="24"/>
      <c r="W17" s="25"/>
      <c r="X17" s="26"/>
      <c r="Y17" s="25"/>
      <c r="Z17" s="28"/>
      <c r="AA17" s="28"/>
      <c r="AB17" s="24"/>
      <c r="AC17" s="25"/>
      <c r="AD17" s="26"/>
      <c r="AE17" s="25"/>
      <c r="AF17" s="28"/>
      <c r="AG17" s="27"/>
      <c r="AH17" s="65"/>
      <c r="AI17" s="66"/>
      <c r="AJ17" s="26"/>
      <c r="AK17" s="78"/>
      <c r="AL17" s="79"/>
      <c r="AM17" s="27"/>
      <c r="AN17" s="78"/>
      <c r="AO17" s="79"/>
      <c r="AP17" s="26"/>
      <c r="AQ17" s="78"/>
      <c r="AR17" s="79"/>
      <c r="AS17" s="27"/>
      <c r="AT17" s="78"/>
      <c r="AU17" s="79"/>
      <c r="AV17" s="26"/>
      <c r="AW17" s="78"/>
      <c r="AX17" s="79"/>
      <c r="AY17" s="27"/>
      <c r="AZ17" s="78"/>
      <c r="BA17" s="79"/>
      <c r="BB17" s="26"/>
      <c r="BC17" s="78"/>
      <c r="BD17" s="79"/>
      <c r="BE17" s="27"/>
      <c r="BF17" s="78"/>
      <c r="BG17" s="79"/>
      <c r="BH17" s="26"/>
      <c r="BI17" s="78"/>
      <c r="BJ17" s="79"/>
      <c r="BK17" s="27"/>
      <c r="BL17" s="65"/>
      <c r="BM17" s="66"/>
      <c r="BN17" s="26"/>
      <c r="BO17" s="78"/>
      <c r="BP17" s="79"/>
      <c r="BQ17" s="27"/>
      <c r="BR17" s="78"/>
      <c r="BS17" s="79"/>
      <c r="BT17" s="26"/>
      <c r="BU17" s="78"/>
      <c r="BV17" s="79"/>
      <c r="BW17" s="27"/>
      <c r="BX17" s="78"/>
      <c r="BY17" s="79"/>
      <c r="BZ17" s="26"/>
      <c r="CA17" s="78"/>
      <c r="CB17" s="79"/>
      <c r="CC17" s="27"/>
      <c r="CD17" s="78"/>
      <c r="CE17" s="79"/>
      <c r="CF17" s="26"/>
      <c r="CG17" s="78"/>
      <c r="CH17" s="79"/>
      <c r="CI17" s="27"/>
      <c r="CJ17" s="78"/>
      <c r="CK17" s="79"/>
      <c r="CL17" s="26"/>
      <c r="CM17" s="78"/>
      <c r="CN17" s="79"/>
      <c r="CO17" s="27"/>
      <c r="CP17" s="78"/>
      <c r="CQ17" s="79"/>
      <c r="CR17" s="26"/>
      <c r="CS17" s="78"/>
      <c r="CT17" s="79"/>
      <c r="CU17" s="27"/>
    </row>
    <row r="18" spans="1:99" s="30" customFormat="1">
      <c r="A18" s="75" t="s">
        <v>16</v>
      </c>
      <c r="B18" s="106"/>
      <c r="C18" s="107"/>
      <c r="D18" s="60" t="s">
        <v>24</v>
      </c>
      <c r="E18" s="60" t="s">
        <v>36</v>
      </c>
      <c r="F18" s="45" cm="1">
        <f t="array" ref="F18">SommeSiCouleurPlage($J18:$CU18,getCouleur($G$39))+SommeSiCouleurPlage($J18:$CU18,getCouleur($P$39))</f>
        <v>3</v>
      </c>
      <c r="G18" s="45" cm="1">
        <f t="array" ref="G18">SommeSiCouleurPlage($J18:$CU18,getCouleur($J$39))+SommeSiCouleurPlage($J18:$CU18,getCouleur($P$39))</f>
        <v>6</v>
      </c>
      <c r="H18" s="45">
        <f t="shared" si="0"/>
        <v>-3</v>
      </c>
      <c r="I18" s="52"/>
      <c r="J18" s="65"/>
      <c r="K18" s="66"/>
      <c r="L18" s="55"/>
      <c r="M18" s="54"/>
      <c r="N18" s="56"/>
      <c r="O18" s="54"/>
      <c r="P18" s="65"/>
      <c r="Q18" s="66"/>
      <c r="R18" s="55"/>
      <c r="S18" s="54">
        <v>2</v>
      </c>
      <c r="T18" s="56"/>
      <c r="U18" s="54"/>
      <c r="V18" s="53"/>
      <c r="W18" s="54"/>
      <c r="X18" s="55"/>
      <c r="Y18" s="82">
        <v>1</v>
      </c>
      <c r="Z18" s="119"/>
      <c r="AA18" s="27"/>
      <c r="AB18" s="119">
        <v>1</v>
      </c>
      <c r="AC18" s="83"/>
      <c r="AD18" s="54"/>
      <c r="AE18" s="82">
        <v>1</v>
      </c>
      <c r="AF18" s="83"/>
      <c r="AG18" s="54"/>
      <c r="AH18" s="69"/>
      <c r="AI18" s="70"/>
      <c r="AJ18" s="50"/>
      <c r="AK18" s="76">
        <v>1</v>
      </c>
      <c r="AL18" s="77"/>
      <c r="AM18" s="54"/>
      <c r="AN18" s="76">
        <v>1</v>
      </c>
      <c r="AO18" s="77"/>
      <c r="AP18" s="55"/>
      <c r="AQ18" s="76">
        <v>1</v>
      </c>
      <c r="AR18" s="77"/>
      <c r="AS18" s="54"/>
      <c r="AT18" s="92"/>
      <c r="AU18" s="93"/>
      <c r="AV18" s="55"/>
      <c r="AW18" s="92"/>
      <c r="AX18" s="93"/>
      <c r="AY18" s="54"/>
      <c r="AZ18" s="92"/>
      <c r="BA18" s="93"/>
      <c r="BB18" s="55"/>
      <c r="BC18" s="92"/>
      <c r="BD18" s="93"/>
      <c r="BE18" s="54"/>
      <c r="BF18" s="92"/>
      <c r="BG18" s="93"/>
      <c r="BH18" s="55"/>
      <c r="BI18" s="92"/>
      <c r="BJ18" s="93"/>
      <c r="BK18" s="54"/>
      <c r="BL18" s="69"/>
      <c r="BM18" s="70"/>
      <c r="BN18" s="55"/>
      <c r="BO18" s="92"/>
      <c r="BP18" s="93"/>
      <c r="BQ18" s="54"/>
      <c r="BR18" s="92"/>
      <c r="BS18" s="93"/>
      <c r="BT18" s="55"/>
      <c r="BU18" s="92"/>
      <c r="BV18" s="93"/>
      <c r="BW18" s="54"/>
      <c r="BX18" s="92"/>
      <c r="BY18" s="93"/>
      <c r="BZ18" s="55"/>
      <c r="CA18" s="92"/>
      <c r="CB18" s="93"/>
      <c r="CC18" s="54"/>
      <c r="CD18" s="92"/>
      <c r="CE18" s="93"/>
      <c r="CF18" s="55"/>
      <c r="CG18" s="92"/>
      <c r="CH18" s="93"/>
      <c r="CI18" s="54"/>
      <c r="CJ18" s="92"/>
      <c r="CK18" s="93"/>
      <c r="CL18" s="55"/>
      <c r="CM18" s="92"/>
      <c r="CN18" s="93"/>
      <c r="CO18" s="54"/>
      <c r="CP18" s="92"/>
      <c r="CQ18" s="93"/>
      <c r="CR18" s="55"/>
      <c r="CS18" s="92"/>
      <c r="CT18" s="93"/>
      <c r="CU18" s="54"/>
    </row>
    <row r="19" spans="1:99" s="30" customFormat="1" ht="15">
      <c r="A19" s="104" t="s">
        <v>25</v>
      </c>
      <c r="B19" s="104"/>
      <c r="C19" s="105"/>
      <c r="D19" s="46" t="s">
        <v>42</v>
      </c>
      <c r="E19" s="46"/>
      <c r="F19" s="5">
        <f>SUM(F20:F25)</f>
        <v>16</v>
      </c>
      <c r="G19" s="5">
        <f>SUM(G20:G25)</f>
        <v>14</v>
      </c>
      <c r="H19" s="6">
        <f>SUM(H20:H25)</f>
        <v>2</v>
      </c>
      <c r="I19" s="11"/>
      <c r="J19" s="34"/>
      <c r="K19" s="35"/>
      <c r="L19" s="43"/>
      <c r="M19" s="35"/>
      <c r="N19" s="36"/>
      <c r="O19" s="27"/>
      <c r="P19" s="34"/>
      <c r="Q19" s="35"/>
      <c r="R19" s="35"/>
      <c r="S19" s="35"/>
      <c r="T19" s="36"/>
      <c r="U19" s="27"/>
      <c r="V19" s="34"/>
      <c r="W19" s="35"/>
      <c r="X19" s="35"/>
      <c r="Y19" s="35"/>
      <c r="Z19" s="36"/>
      <c r="AA19" s="27"/>
      <c r="AB19" s="34"/>
      <c r="AC19" s="35"/>
      <c r="AD19" s="35"/>
      <c r="AE19" s="35"/>
      <c r="AF19" s="36"/>
      <c r="AG19" s="27"/>
      <c r="AH19" s="34"/>
      <c r="AI19" s="35"/>
      <c r="AJ19" s="35"/>
      <c r="AK19" s="35"/>
      <c r="AL19" s="36"/>
      <c r="AM19" s="27"/>
      <c r="AN19" s="34"/>
      <c r="AO19" s="35"/>
      <c r="AP19" s="35"/>
      <c r="AQ19" s="35"/>
      <c r="AR19" s="36"/>
      <c r="AS19" s="27"/>
      <c r="AT19" s="34"/>
      <c r="AU19" s="35"/>
      <c r="AV19" s="35"/>
      <c r="AW19" s="35"/>
      <c r="AX19" s="36"/>
      <c r="AY19" s="27"/>
      <c r="AZ19" s="34"/>
      <c r="BA19" s="35"/>
      <c r="BB19" s="35"/>
      <c r="BC19" s="35"/>
      <c r="BD19" s="36"/>
      <c r="BE19" s="27"/>
      <c r="BF19" s="34"/>
      <c r="BG19" s="35"/>
      <c r="BH19" s="35"/>
      <c r="BI19" s="35"/>
      <c r="BJ19" s="36"/>
      <c r="BK19" s="27"/>
      <c r="BL19" s="34"/>
      <c r="BM19" s="35"/>
      <c r="BN19" s="35"/>
      <c r="BO19" s="35"/>
      <c r="BP19" s="36"/>
      <c r="BQ19" s="29"/>
      <c r="BR19" s="34"/>
      <c r="BS19" s="35"/>
      <c r="BT19" s="35"/>
      <c r="BU19" s="35"/>
      <c r="BV19" s="36"/>
      <c r="BW19" s="29"/>
      <c r="BX19" s="34"/>
      <c r="BY19" s="35"/>
      <c r="BZ19" s="35"/>
      <c r="CA19" s="35"/>
      <c r="CB19" s="36"/>
      <c r="CC19" s="29"/>
      <c r="CD19" s="34"/>
      <c r="CE19" s="35"/>
      <c r="CF19" s="35"/>
      <c r="CG19" s="35"/>
      <c r="CH19" s="36"/>
      <c r="CI19" s="27"/>
      <c r="CJ19" s="34"/>
      <c r="CK19" s="35"/>
      <c r="CL19" s="35"/>
      <c r="CM19" s="35"/>
      <c r="CN19" s="36"/>
      <c r="CO19" s="29"/>
      <c r="CP19" s="34"/>
      <c r="CQ19" s="35"/>
      <c r="CR19" s="35"/>
      <c r="CS19" s="35"/>
      <c r="CT19" s="36"/>
      <c r="CU19" s="29"/>
    </row>
    <row r="20" spans="1:99" s="30" customFormat="1">
      <c r="A20" s="74" t="s">
        <v>26</v>
      </c>
      <c r="B20" s="74"/>
      <c r="C20" s="75"/>
      <c r="D20" s="58" t="s">
        <v>24</v>
      </c>
      <c r="E20" s="58" t="s">
        <v>36</v>
      </c>
      <c r="F20" s="22" cm="1">
        <f t="array" ref="F20">SommeSiCouleurPlage($J20:$CU20,getCouleur($G$39))+SommeSiCouleurPlage($J20:$CU20,getCouleur($P$39))</f>
        <v>6</v>
      </c>
      <c r="G20" s="22" cm="1">
        <f t="array" ref="G20">SommeSiCouleurPlage($J20:$CU20,getCouleur($J$39))+SommeSiCouleurPlage($J20:$CU20,getCouleur($P$39))</f>
        <v>3</v>
      </c>
      <c r="H20" s="22">
        <f t="shared" si="0"/>
        <v>3</v>
      </c>
      <c r="I20" s="23"/>
      <c r="J20" s="65"/>
      <c r="K20" s="66"/>
      <c r="L20" s="67"/>
      <c r="M20" s="25"/>
      <c r="N20" s="28"/>
      <c r="O20" s="27"/>
      <c r="P20" s="65"/>
      <c r="Q20" s="66"/>
      <c r="R20" s="26"/>
      <c r="S20" s="25"/>
      <c r="T20" s="28"/>
      <c r="U20" s="27"/>
      <c r="V20" s="24"/>
      <c r="W20" s="25"/>
      <c r="X20" s="26"/>
      <c r="Y20" s="25"/>
      <c r="Z20" s="28"/>
      <c r="AA20" s="27"/>
      <c r="AB20" s="24"/>
      <c r="AC20" s="25"/>
      <c r="AD20" s="26"/>
      <c r="AE20" s="25"/>
      <c r="AF20" s="28"/>
      <c r="AG20" s="27"/>
      <c r="AH20" s="65"/>
      <c r="AI20" s="66"/>
      <c r="AJ20" s="26"/>
      <c r="AK20" s="84">
        <v>1</v>
      </c>
      <c r="AL20" s="85"/>
      <c r="AM20" s="27"/>
      <c r="AN20" s="84">
        <v>1</v>
      </c>
      <c r="AO20" s="85"/>
      <c r="AP20" s="26"/>
      <c r="AQ20" s="84">
        <v>1</v>
      </c>
      <c r="AR20" s="85"/>
      <c r="AS20" s="27"/>
      <c r="AT20" s="82">
        <v>1</v>
      </c>
      <c r="AU20" s="83"/>
      <c r="AV20" s="26"/>
      <c r="AW20" s="82">
        <v>1</v>
      </c>
      <c r="AX20" s="83"/>
      <c r="AY20" s="27"/>
      <c r="AZ20" s="82">
        <v>1</v>
      </c>
      <c r="BA20" s="83"/>
      <c r="BB20" s="26"/>
      <c r="BC20" s="78"/>
      <c r="BD20" s="79"/>
      <c r="BE20" s="27"/>
      <c r="BF20" s="78"/>
      <c r="BG20" s="79"/>
      <c r="BH20" s="26"/>
      <c r="BI20" s="78"/>
      <c r="BJ20" s="79"/>
      <c r="BK20" s="27"/>
      <c r="BL20" s="65"/>
      <c r="BM20" s="66"/>
      <c r="BN20" s="26"/>
      <c r="BO20" s="25"/>
      <c r="BP20" s="28"/>
      <c r="BQ20" s="29"/>
      <c r="BR20" s="24"/>
      <c r="BS20" s="25"/>
      <c r="BT20" s="26"/>
      <c r="BU20" s="25"/>
      <c r="BV20" s="28"/>
      <c r="BW20" s="29"/>
      <c r="BX20" s="24"/>
      <c r="BY20" s="25"/>
      <c r="BZ20" s="26"/>
      <c r="CA20" s="25"/>
      <c r="CB20" s="28"/>
      <c r="CC20" s="29"/>
      <c r="CD20" s="24"/>
      <c r="CE20" s="25"/>
      <c r="CF20" s="26"/>
      <c r="CG20" s="25"/>
      <c r="CH20" s="28"/>
      <c r="CI20" s="27"/>
      <c r="CJ20" s="24"/>
      <c r="CK20" s="25"/>
      <c r="CL20" s="26"/>
      <c r="CM20" s="25"/>
      <c r="CN20" s="28"/>
      <c r="CO20" s="29"/>
      <c r="CP20" s="24"/>
      <c r="CQ20" s="25"/>
      <c r="CR20" s="26"/>
      <c r="CS20" s="25"/>
      <c r="CT20" s="28"/>
      <c r="CU20" s="29"/>
    </row>
    <row r="21" spans="1:99" s="30" customFormat="1">
      <c r="A21" s="74" t="s">
        <v>30</v>
      </c>
      <c r="B21" s="74"/>
      <c r="C21" s="75"/>
      <c r="D21" s="59" t="s">
        <v>24</v>
      </c>
      <c r="E21" s="59" t="s">
        <v>36</v>
      </c>
      <c r="F21" s="31" cm="1">
        <f t="array" ref="F21">SommeSiCouleurPlage($J21:$CU21,getCouleur($G$39))+SommeSiCouleurPlage($J21:$CU21,getCouleur($P$39))</f>
        <v>3</v>
      </c>
      <c r="G21" s="31" cm="1">
        <f t="array" ref="G21">SommeSiCouleurPlage($J21:$CU21,getCouleur($J$39))+SommeSiCouleurPlage($J21:$CU21,getCouleur($P$39))</f>
        <v>4</v>
      </c>
      <c r="H21" s="31">
        <f t="shared" si="0"/>
        <v>-1</v>
      </c>
      <c r="I21" s="23"/>
      <c r="J21" s="65"/>
      <c r="K21" s="66"/>
      <c r="L21" s="67"/>
      <c r="M21" s="27"/>
      <c r="N21" s="33"/>
      <c r="O21" s="27"/>
      <c r="P21" s="65"/>
      <c r="Q21" s="71"/>
      <c r="R21" s="26"/>
      <c r="S21" s="27"/>
      <c r="T21" s="33"/>
      <c r="U21" s="27"/>
      <c r="V21" s="32"/>
      <c r="W21" s="27"/>
      <c r="X21" s="26"/>
      <c r="Y21" s="27"/>
      <c r="Z21" s="33"/>
      <c r="AA21" s="27"/>
      <c r="AB21" s="32"/>
      <c r="AC21" s="37"/>
      <c r="AD21" s="26"/>
      <c r="AE21" s="32"/>
      <c r="AF21" s="33"/>
      <c r="AG21" s="27"/>
      <c r="AH21" s="65"/>
      <c r="AI21" s="66"/>
      <c r="AJ21" s="26"/>
      <c r="AK21" s="80"/>
      <c r="AL21" s="81"/>
      <c r="AM21" s="27"/>
      <c r="AN21" s="80"/>
      <c r="AO21" s="81"/>
      <c r="AP21" s="26"/>
      <c r="AQ21" s="80"/>
      <c r="AR21" s="81"/>
      <c r="AS21" s="27"/>
      <c r="AT21" s="80"/>
      <c r="AU21" s="81"/>
      <c r="AV21" s="26"/>
      <c r="AW21" s="80">
        <v>1</v>
      </c>
      <c r="AX21" s="81"/>
      <c r="AY21" s="27"/>
      <c r="AZ21" s="80">
        <v>1</v>
      </c>
      <c r="BA21" s="81"/>
      <c r="BB21" s="26"/>
      <c r="BC21" s="82">
        <v>1</v>
      </c>
      <c r="BD21" s="83"/>
      <c r="BE21" s="27"/>
      <c r="BF21" s="82">
        <v>1</v>
      </c>
      <c r="BG21" s="83"/>
      <c r="BH21" s="26"/>
      <c r="BI21" s="82">
        <v>1</v>
      </c>
      <c r="BJ21" s="83"/>
      <c r="BK21" s="27"/>
      <c r="BL21" s="65"/>
      <c r="BM21" s="66"/>
      <c r="BN21" s="26"/>
      <c r="BO21" s="27"/>
      <c r="BP21" s="33"/>
      <c r="BQ21" s="29"/>
      <c r="BR21" s="76">
        <v>1</v>
      </c>
      <c r="BS21" s="77"/>
      <c r="BT21" s="26"/>
      <c r="BU21" s="27"/>
      <c r="BV21" s="33"/>
      <c r="BW21" s="29"/>
      <c r="BX21" s="32"/>
      <c r="BY21" s="27"/>
      <c r="BZ21" s="26"/>
      <c r="CA21" s="27"/>
      <c r="CB21" s="33"/>
      <c r="CC21" s="29"/>
      <c r="CD21" s="32"/>
      <c r="CE21" s="27"/>
      <c r="CF21" s="26"/>
      <c r="CG21" s="27"/>
      <c r="CH21" s="33"/>
      <c r="CI21" s="27"/>
      <c r="CJ21" s="32"/>
      <c r="CK21" s="27"/>
      <c r="CL21" s="26"/>
      <c r="CM21" s="27"/>
      <c r="CN21" s="33"/>
      <c r="CO21" s="29"/>
      <c r="CP21" s="32"/>
      <c r="CQ21" s="27"/>
      <c r="CR21" s="26"/>
      <c r="CS21" s="27"/>
      <c r="CT21" s="33"/>
      <c r="CU21" s="29"/>
    </row>
    <row r="22" spans="1:99" s="30" customFormat="1">
      <c r="A22" s="74" t="s">
        <v>27</v>
      </c>
      <c r="B22" s="74"/>
      <c r="C22" s="75"/>
      <c r="D22" s="58" t="s">
        <v>19</v>
      </c>
      <c r="E22" s="58" t="s">
        <v>34</v>
      </c>
      <c r="F22" s="22" cm="1">
        <f t="array" ref="F22">SommeSiCouleurPlage($J22:$CU22,getCouleur($G$39))+SommeSiCouleurPlage($J22:$CU22,getCouleur($P$39))</f>
        <v>1</v>
      </c>
      <c r="G22" s="22" cm="1">
        <f t="array" ref="G22">SommeSiCouleurPlage($J22:$CU22,getCouleur($J$39))+SommeSiCouleurPlage($J22:$CU22,getCouleur($P$39))</f>
        <v>1</v>
      </c>
      <c r="H22" s="22">
        <f t="shared" si="0"/>
        <v>0</v>
      </c>
      <c r="I22" s="23"/>
      <c r="J22" s="65"/>
      <c r="K22" s="66"/>
      <c r="L22" s="67"/>
      <c r="M22" s="25"/>
      <c r="N22" s="28"/>
      <c r="O22" s="27"/>
      <c r="P22" s="65"/>
      <c r="Q22" s="66"/>
      <c r="R22" s="26"/>
      <c r="S22" s="25"/>
      <c r="T22" s="28"/>
      <c r="U22" s="27"/>
      <c r="V22" s="24"/>
      <c r="W22" s="25"/>
      <c r="X22" s="26"/>
      <c r="Y22" s="76">
        <v>1</v>
      </c>
      <c r="Z22" s="77"/>
      <c r="AA22" s="27"/>
      <c r="AB22" s="24"/>
      <c r="AC22" s="25"/>
      <c r="AD22" s="26"/>
      <c r="AE22" s="25"/>
      <c r="AF22" s="28"/>
      <c r="AG22" s="27"/>
      <c r="AH22" s="65"/>
      <c r="AI22" s="66"/>
      <c r="AJ22" s="26"/>
      <c r="AK22" s="84">
        <v>1</v>
      </c>
      <c r="AL22" s="85"/>
      <c r="AM22" s="27"/>
      <c r="AN22" s="78"/>
      <c r="AO22" s="79"/>
      <c r="AP22" s="26"/>
      <c r="AQ22" s="78"/>
      <c r="AR22" s="79"/>
      <c r="AS22" s="27"/>
      <c r="AT22" s="78"/>
      <c r="AU22" s="79"/>
      <c r="AV22" s="26"/>
      <c r="AW22" s="78"/>
      <c r="AX22" s="79"/>
      <c r="AY22" s="27"/>
      <c r="AZ22" s="78"/>
      <c r="BA22" s="79"/>
      <c r="BB22" s="26"/>
      <c r="BC22" s="78"/>
      <c r="BD22" s="79"/>
      <c r="BE22" s="27"/>
      <c r="BF22" s="78"/>
      <c r="BG22" s="79"/>
      <c r="BH22" s="26"/>
      <c r="BI22" s="78"/>
      <c r="BJ22" s="79"/>
      <c r="BK22" s="27"/>
      <c r="BL22" s="65"/>
      <c r="BM22" s="66"/>
      <c r="BN22" s="26"/>
      <c r="BO22" s="25"/>
      <c r="BP22" s="28"/>
      <c r="BQ22" s="29"/>
      <c r="BR22" s="78"/>
      <c r="BS22" s="79"/>
      <c r="BT22" s="26"/>
      <c r="BU22" s="25"/>
      <c r="BV22" s="28"/>
      <c r="BW22" s="29"/>
      <c r="BX22" s="24"/>
      <c r="BY22" s="25"/>
      <c r="BZ22" s="26"/>
      <c r="CA22" s="25"/>
      <c r="CB22" s="28"/>
      <c r="CC22" s="29"/>
      <c r="CD22" s="24"/>
      <c r="CE22" s="25"/>
      <c r="CF22" s="26"/>
      <c r="CG22" s="25"/>
      <c r="CH22" s="28"/>
      <c r="CI22" s="27"/>
      <c r="CJ22" s="24"/>
      <c r="CK22" s="25"/>
      <c r="CL22" s="26"/>
      <c r="CM22" s="25"/>
      <c r="CN22" s="28"/>
      <c r="CO22" s="29"/>
      <c r="CP22" s="24"/>
      <c r="CQ22" s="25"/>
      <c r="CR22" s="26"/>
      <c r="CS22" s="25"/>
      <c r="CT22" s="28"/>
      <c r="CU22" s="29"/>
    </row>
    <row r="23" spans="1:99" s="30" customFormat="1">
      <c r="A23" s="74" t="s">
        <v>28</v>
      </c>
      <c r="B23" s="74"/>
      <c r="C23" s="75"/>
      <c r="D23" s="59" t="s">
        <v>20</v>
      </c>
      <c r="E23" s="59" t="s">
        <v>34</v>
      </c>
      <c r="F23" s="31" cm="1">
        <f t="array" ref="F23">SommeSiCouleurPlage($J23:$CU23,getCouleur($G$39))+SommeSiCouleurPlage($J23:$CU23,getCouleur($P$39))</f>
        <v>2</v>
      </c>
      <c r="G23" s="31" cm="1">
        <f t="array" ref="G23">SommeSiCouleurPlage($J23:$CU23,getCouleur($J$39))+SommeSiCouleurPlage($J23:$CU23,getCouleur($P$39))</f>
        <v>1</v>
      </c>
      <c r="H23" s="31">
        <f t="shared" si="0"/>
        <v>1</v>
      </c>
      <c r="I23" s="23"/>
      <c r="J23" s="65"/>
      <c r="K23" s="66"/>
      <c r="L23" s="67"/>
      <c r="M23" s="27"/>
      <c r="N23" s="33"/>
      <c r="O23" s="27"/>
      <c r="P23" s="65"/>
      <c r="Q23" s="66"/>
      <c r="R23" s="26"/>
      <c r="S23" s="27"/>
      <c r="T23" s="33"/>
      <c r="U23" s="27"/>
      <c r="V23" s="32"/>
      <c r="W23" s="27"/>
      <c r="X23" s="26"/>
      <c r="Y23" s="27"/>
      <c r="Z23" s="33"/>
      <c r="AA23" s="27"/>
      <c r="AB23" s="32"/>
      <c r="AC23" s="27"/>
      <c r="AD23" s="26"/>
      <c r="AE23" s="27"/>
      <c r="AF23" s="33"/>
      <c r="AG23" s="27"/>
      <c r="AH23" s="65"/>
      <c r="AI23" s="66"/>
      <c r="AJ23" s="26"/>
      <c r="AK23" s="80">
        <v>1</v>
      </c>
      <c r="AL23" s="81"/>
      <c r="AM23" s="27"/>
      <c r="AN23" s="84">
        <v>1</v>
      </c>
      <c r="AO23" s="85"/>
      <c r="AP23" s="26"/>
      <c r="AQ23" s="80"/>
      <c r="AR23" s="81"/>
      <c r="AS23" s="27"/>
      <c r="AT23" s="80"/>
      <c r="AU23" s="81"/>
      <c r="AV23" s="26"/>
      <c r="AW23" s="80"/>
      <c r="AX23" s="81"/>
      <c r="AY23" s="27"/>
      <c r="AZ23" s="82">
        <v>1</v>
      </c>
      <c r="BA23" s="83"/>
      <c r="BB23" s="26"/>
      <c r="BC23" s="80"/>
      <c r="BD23" s="81"/>
      <c r="BE23" s="27"/>
      <c r="BF23" s="80"/>
      <c r="BG23" s="81"/>
      <c r="BH23" s="26"/>
      <c r="BI23" s="80"/>
      <c r="BJ23" s="81"/>
      <c r="BK23" s="27"/>
      <c r="BL23" s="65"/>
      <c r="BM23" s="66"/>
      <c r="BN23" s="26"/>
      <c r="BO23" s="27"/>
      <c r="BP23" s="33"/>
      <c r="BQ23" s="29"/>
      <c r="BR23" s="32"/>
      <c r="BS23" s="27"/>
      <c r="BT23" s="26"/>
      <c r="BU23" s="27"/>
      <c r="BV23" s="33"/>
      <c r="BW23" s="29"/>
      <c r="BX23" s="32"/>
      <c r="BY23" s="27"/>
      <c r="BZ23" s="26"/>
      <c r="CA23" s="27"/>
      <c r="CB23" s="33"/>
      <c r="CC23" s="29"/>
      <c r="CD23" s="32"/>
      <c r="CE23" s="27"/>
      <c r="CF23" s="26"/>
      <c r="CG23" s="27"/>
      <c r="CH23" s="33"/>
      <c r="CI23" s="27"/>
      <c r="CJ23" s="32"/>
      <c r="CK23" s="27"/>
      <c r="CL23" s="26"/>
      <c r="CM23" s="27"/>
      <c r="CN23" s="33"/>
      <c r="CO23" s="29"/>
      <c r="CP23" s="32"/>
      <c r="CQ23" s="27"/>
      <c r="CR23" s="26"/>
      <c r="CS23" s="27"/>
      <c r="CT23" s="33"/>
      <c r="CU23" s="29"/>
    </row>
    <row r="24" spans="1:99" s="30" customFormat="1">
      <c r="A24" s="74" t="s">
        <v>29</v>
      </c>
      <c r="B24" s="74"/>
      <c r="C24" s="75"/>
      <c r="D24" s="58" t="s">
        <v>21</v>
      </c>
      <c r="E24" s="58" t="s">
        <v>34</v>
      </c>
      <c r="F24" s="22" cm="1">
        <f t="array" ref="F24">SommeSiCouleurPlage($J24:$CU24,getCouleur($G$39))+SommeSiCouleurPlage($J24:$CU24,getCouleur($P$39))</f>
        <v>2</v>
      </c>
      <c r="G24" s="22" cm="1">
        <f t="array" ref="G24">SommeSiCouleurPlage($J24:$CU24,getCouleur($J$39))+SommeSiCouleurPlage($J24:$CU24,getCouleur($P$39))</f>
        <v>1</v>
      </c>
      <c r="H24" s="22">
        <f>F24-G24</f>
        <v>1</v>
      </c>
      <c r="I24" s="23"/>
      <c r="J24" s="65"/>
      <c r="K24" s="66"/>
      <c r="L24" s="67"/>
      <c r="M24" s="25"/>
      <c r="N24" s="28"/>
      <c r="O24" s="27"/>
      <c r="P24" s="65"/>
      <c r="Q24" s="66"/>
      <c r="R24" s="26"/>
      <c r="S24" s="25"/>
      <c r="T24" s="28"/>
      <c r="U24" s="27"/>
      <c r="V24" s="24"/>
      <c r="W24" s="25"/>
      <c r="X24" s="26"/>
      <c r="Y24" s="25"/>
      <c r="Z24" s="28"/>
      <c r="AA24" s="27"/>
      <c r="AB24" s="24"/>
      <c r="AC24" s="25"/>
      <c r="AD24" s="26"/>
      <c r="AE24" s="25"/>
      <c r="AF24" s="28"/>
      <c r="AG24" s="27"/>
      <c r="AH24" s="65"/>
      <c r="AI24" s="66"/>
      <c r="AJ24" s="26"/>
      <c r="AK24" s="78"/>
      <c r="AL24" s="79"/>
      <c r="AM24" s="27"/>
      <c r="AN24" s="78"/>
      <c r="AO24" s="79"/>
      <c r="AP24" s="26"/>
      <c r="AQ24" s="78"/>
      <c r="AR24" s="79"/>
      <c r="AS24" s="27"/>
      <c r="AT24" s="82">
        <v>1</v>
      </c>
      <c r="AU24" s="83"/>
      <c r="AV24" s="26"/>
      <c r="AW24" s="84">
        <v>1</v>
      </c>
      <c r="AX24" s="85"/>
      <c r="AY24" s="27"/>
      <c r="AZ24" s="78"/>
      <c r="BA24" s="79"/>
      <c r="BB24" s="26"/>
      <c r="BC24" s="78"/>
      <c r="BD24" s="79"/>
      <c r="BE24" s="27"/>
      <c r="BF24" s="78"/>
      <c r="BG24" s="79"/>
      <c r="BH24" s="26"/>
      <c r="BI24" s="78"/>
      <c r="BJ24" s="79"/>
      <c r="BK24" s="27"/>
      <c r="BL24" s="65"/>
      <c r="BM24" s="66"/>
      <c r="BN24" s="26"/>
      <c r="BO24" s="25"/>
      <c r="BP24" s="28"/>
      <c r="BQ24" s="29"/>
      <c r="BR24" s="24"/>
      <c r="BS24" s="25"/>
      <c r="BT24" s="26"/>
      <c r="BU24" s="25"/>
      <c r="BV24" s="28"/>
      <c r="BW24" s="29"/>
      <c r="BX24" s="24"/>
      <c r="BY24" s="25"/>
      <c r="BZ24" s="26"/>
      <c r="CA24" s="25"/>
      <c r="CB24" s="28"/>
      <c r="CC24" s="29"/>
      <c r="CD24" s="24"/>
      <c r="CE24" s="25"/>
      <c r="CF24" s="26"/>
      <c r="CG24" s="25"/>
      <c r="CH24" s="28"/>
      <c r="CI24" s="27"/>
      <c r="CJ24" s="24"/>
      <c r="CK24" s="25"/>
      <c r="CL24" s="26"/>
      <c r="CM24" s="25"/>
      <c r="CN24" s="28"/>
      <c r="CO24" s="29"/>
      <c r="CP24" s="24"/>
      <c r="CQ24" s="25"/>
      <c r="CR24" s="26"/>
      <c r="CS24" s="25"/>
      <c r="CT24" s="28"/>
      <c r="CU24" s="29"/>
    </row>
    <row r="25" spans="1:99" s="30" customFormat="1">
      <c r="A25" s="74" t="s">
        <v>33</v>
      </c>
      <c r="B25" s="74"/>
      <c r="C25" s="75"/>
      <c r="D25" s="60" t="s">
        <v>21</v>
      </c>
      <c r="E25" s="60" t="s">
        <v>35</v>
      </c>
      <c r="F25" s="45">
        <v>2</v>
      </c>
      <c r="G25" s="31" cm="1">
        <f t="array" ref="G25">SommeSiCouleurPlage($J25:$CU25,getCouleur($J$39))+SommeSiCouleurPlage($J25:$CU25,getCouleur($P$39))</f>
        <v>4</v>
      </c>
      <c r="H25" s="31">
        <f t="shared" ref="H25" si="2">F25-G25</f>
        <v>-2</v>
      </c>
      <c r="I25" s="23"/>
      <c r="J25" s="65"/>
      <c r="K25" s="66"/>
      <c r="L25" s="67"/>
      <c r="M25" s="27"/>
      <c r="N25" s="33"/>
      <c r="O25" s="27"/>
      <c r="P25" s="65"/>
      <c r="Q25" s="66"/>
      <c r="R25" s="26"/>
      <c r="S25" s="27"/>
      <c r="T25" s="33"/>
      <c r="U25" s="27"/>
      <c r="V25" s="32"/>
      <c r="W25" s="27"/>
      <c r="X25" s="26"/>
      <c r="Y25" s="27"/>
      <c r="Z25" s="33"/>
      <c r="AA25" s="27"/>
      <c r="AB25" s="32"/>
      <c r="AC25" s="27"/>
      <c r="AD25" s="26"/>
      <c r="AE25" s="27"/>
      <c r="AF25" s="33"/>
      <c r="AG25" s="27"/>
      <c r="AH25" s="69"/>
      <c r="AI25" s="70"/>
      <c r="AJ25" s="26"/>
      <c r="AK25" s="90"/>
      <c r="AL25" s="91"/>
      <c r="AM25" s="27"/>
      <c r="AN25" s="90"/>
      <c r="AO25" s="91"/>
      <c r="AP25" s="50"/>
      <c r="AQ25" s="90"/>
      <c r="AR25" s="91">
        <v>1</v>
      </c>
      <c r="AS25" s="27"/>
      <c r="AT25" s="88"/>
      <c r="AU25" s="89"/>
      <c r="AV25" s="50"/>
      <c r="AW25" s="82">
        <v>1</v>
      </c>
      <c r="AX25" s="83"/>
      <c r="AY25" s="27"/>
      <c r="AZ25" s="82">
        <v>1</v>
      </c>
      <c r="BA25" s="83"/>
      <c r="BB25" s="50"/>
      <c r="BC25" s="82">
        <v>1</v>
      </c>
      <c r="BD25" s="83"/>
      <c r="BE25" s="27"/>
      <c r="BF25" s="86">
        <v>1</v>
      </c>
      <c r="BG25" s="87"/>
      <c r="BH25" s="50"/>
      <c r="BI25" s="76">
        <v>1</v>
      </c>
      <c r="BJ25" s="77"/>
      <c r="BK25" s="27"/>
      <c r="BL25" s="69"/>
      <c r="BM25" s="70"/>
      <c r="BN25" s="26"/>
      <c r="BO25" s="27"/>
      <c r="BP25" s="33"/>
      <c r="BQ25" s="29"/>
      <c r="BR25" s="32"/>
      <c r="BS25" s="27"/>
      <c r="BT25" s="26"/>
      <c r="BU25" s="27"/>
      <c r="BV25" s="33"/>
      <c r="BW25" s="29"/>
      <c r="BX25" s="32"/>
      <c r="BY25" s="27"/>
      <c r="BZ25" s="26"/>
      <c r="CA25" s="27"/>
      <c r="CB25" s="33"/>
      <c r="CC25" s="29"/>
      <c r="CD25" s="32"/>
      <c r="CE25" s="27"/>
      <c r="CF25" s="26"/>
      <c r="CG25" s="27"/>
      <c r="CH25" s="33"/>
      <c r="CI25" s="27"/>
      <c r="CJ25" s="32"/>
      <c r="CK25" s="27"/>
      <c r="CL25" s="26"/>
      <c r="CM25" s="27"/>
      <c r="CN25" s="33"/>
      <c r="CO25" s="29"/>
      <c r="CP25" s="32"/>
      <c r="CQ25" s="27"/>
      <c r="CR25" s="26"/>
      <c r="CS25" s="27"/>
      <c r="CT25" s="33"/>
      <c r="CU25" s="29"/>
    </row>
    <row r="26" spans="1:99" s="30" customFormat="1">
      <c r="A26" s="74" t="s">
        <v>47</v>
      </c>
      <c r="B26" s="74"/>
      <c r="C26" s="75"/>
      <c r="D26" s="58" t="s">
        <v>21</v>
      </c>
      <c r="E26" s="58" t="s">
        <v>34</v>
      </c>
      <c r="F26" s="22" cm="1">
        <f t="array" ref="F26">SommeSiCouleurPlage($J26:$CU26,getCouleur($G$39))+SommeSiCouleurPlage($J26:$CU26,getCouleur($P$39))</f>
        <v>0</v>
      </c>
      <c r="G26" s="22" cm="1">
        <f t="array" ref="G26">SommeSiCouleurPlage($J26:$CU26,getCouleur($J$39))+SommeSiCouleurPlage($J26:$CU26,getCouleur($P$39))</f>
        <v>5</v>
      </c>
      <c r="H26" s="22">
        <f>F26-G26</f>
        <v>-5</v>
      </c>
      <c r="I26" s="23"/>
      <c r="J26" s="65"/>
      <c r="K26" s="66"/>
      <c r="L26" s="67"/>
      <c r="M26" s="25"/>
      <c r="N26" s="28"/>
      <c r="O26" s="27"/>
      <c r="P26" s="65"/>
      <c r="Q26" s="66"/>
      <c r="R26" s="26"/>
      <c r="S26" s="25"/>
      <c r="T26" s="28"/>
      <c r="U26" s="27"/>
      <c r="V26" s="24"/>
      <c r="W26" s="25"/>
      <c r="X26" s="26"/>
      <c r="Y26" s="25"/>
      <c r="Z26" s="28"/>
      <c r="AA26" s="27"/>
      <c r="AB26" s="24"/>
      <c r="AC26" s="25"/>
      <c r="AD26" s="26"/>
      <c r="AE26" s="25"/>
      <c r="AF26" s="28"/>
      <c r="AG26" s="27"/>
      <c r="AH26" s="65"/>
      <c r="AI26" s="66"/>
      <c r="AJ26" s="26"/>
      <c r="AK26" s="76">
        <v>1</v>
      </c>
      <c r="AL26" s="77"/>
      <c r="AM26" s="54"/>
      <c r="AN26" s="76">
        <v>1</v>
      </c>
      <c r="AO26" s="77"/>
      <c r="AP26" s="55"/>
      <c r="AQ26" s="76">
        <v>1</v>
      </c>
      <c r="AR26" s="77"/>
      <c r="AS26" s="27"/>
      <c r="AT26" s="78"/>
      <c r="AU26" s="79"/>
      <c r="AV26" s="26"/>
      <c r="AW26" s="78"/>
      <c r="AX26" s="79"/>
      <c r="AY26" s="27"/>
      <c r="AZ26" s="78"/>
      <c r="BA26" s="79"/>
      <c r="BB26" s="26"/>
      <c r="BC26" s="124"/>
      <c r="BD26" s="125"/>
      <c r="BE26" s="27"/>
      <c r="BF26" s="78"/>
      <c r="BG26" s="79"/>
      <c r="BH26" s="26"/>
      <c r="BI26" s="78"/>
      <c r="BJ26" s="79"/>
      <c r="BK26" s="27"/>
      <c r="BL26" s="65"/>
      <c r="BM26" s="66"/>
      <c r="BN26" s="26"/>
      <c r="BO26" s="25"/>
      <c r="BP26" s="28"/>
      <c r="BQ26" s="29"/>
      <c r="BR26" s="24"/>
      <c r="BS26" s="25"/>
      <c r="BT26" s="26"/>
      <c r="BU26" s="25"/>
      <c r="BV26" s="28"/>
      <c r="BW26" s="29"/>
      <c r="BX26" s="76">
        <v>1</v>
      </c>
      <c r="BY26" s="77"/>
      <c r="BZ26" s="26"/>
      <c r="CA26" s="76">
        <v>1</v>
      </c>
      <c r="CB26" s="77"/>
      <c r="CC26" s="29"/>
      <c r="CD26" s="24"/>
      <c r="CE26" s="25"/>
      <c r="CF26" s="26"/>
      <c r="CG26" s="25"/>
      <c r="CH26" s="28"/>
      <c r="CI26" s="27"/>
      <c r="CJ26" s="24"/>
      <c r="CK26" s="25"/>
      <c r="CL26" s="26"/>
      <c r="CM26" s="25"/>
      <c r="CN26" s="28"/>
      <c r="CO26" s="29"/>
      <c r="CP26" s="24"/>
      <c r="CQ26" s="25"/>
      <c r="CR26" s="26"/>
      <c r="CS26" s="25"/>
      <c r="CT26" s="28"/>
      <c r="CU26" s="29"/>
    </row>
    <row r="27" spans="1:99" s="30" customFormat="1" ht="15">
      <c r="A27" s="104" t="s">
        <v>37</v>
      </c>
      <c r="B27" s="104"/>
      <c r="C27" s="105"/>
      <c r="D27" s="46" t="s">
        <v>42</v>
      </c>
      <c r="E27" s="46"/>
      <c r="F27" s="5">
        <f>SUM(F28:F31)</f>
        <v>12</v>
      </c>
      <c r="G27" s="5">
        <f>SUM(G28:G31)</f>
        <v>4</v>
      </c>
      <c r="H27" s="6">
        <f>SUM(H28:H31)</f>
        <v>8</v>
      </c>
      <c r="I27" s="11"/>
      <c r="J27" s="34"/>
      <c r="K27" s="35"/>
      <c r="L27" s="35"/>
      <c r="M27" s="35"/>
      <c r="N27" s="36"/>
      <c r="O27" s="27"/>
      <c r="P27" s="34"/>
      <c r="Q27" s="35"/>
      <c r="R27" s="35"/>
      <c r="S27" s="35"/>
      <c r="T27" s="36"/>
      <c r="U27" s="27"/>
      <c r="V27" s="34"/>
      <c r="W27" s="35"/>
      <c r="X27" s="35"/>
      <c r="Y27" s="35"/>
      <c r="Z27" s="36"/>
      <c r="AA27" s="27"/>
      <c r="AB27" s="34"/>
      <c r="AC27" s="35"/>
      <c r="AD27" s="35"/>
      <c r="AE27" s="35"/>
      <c r="AF27" s="36"/>
      <c r="AG27" s="27"/>
      <c r="AH27" s="34"/>
      <c r="AI27" s="35"/>
      <c r="AJ27" s="35"/>
      <c r="AK27" s="35"/>
      <c r="AL27" s="36"/>
      <c r="AM27" s="27"/>
      <c r="AN27" s="34"/>
      <c r="AO27" s="35"/>
      <c r="AP27" s="35"/>
      <c r="AQ27" s="35"/>
      <c r="AR27" s="36"/>
      <c r="AS27" s="27"/>
      <c r="AT27" s="34"/>
      <c r="AU27" s="35"/>
      <c r="AV27" s="35"/>
      <c r="AW27" s="35"/>
      <c r="AX27" s="36"/>
      <c r="AY27" s="27"/>
      <c r="AZ27" s="34"/>
      <c r="BA27" s="35"/>
      <c r="BB27" s="35"/>
      <c r="BC27" s="35"/>
      <c r="BD27" s="36"/>
      <c r="BE27" s="27"/>
      <c r="BF27" s="34"/>
      <c r="BG27" s="35"/>
      <c r="BH27" s="35"/>
      <c r="BI27" s="35"/>
      <c r="BJ27" s="36"/>
      <c r="BK27" s="27"/>
      <c r="BL27" s="34"/>
      <c r="BM27" s="35"/>
      <c r="BN27" s="35"/>
      <c r="BO27" s="35"/>
      <c r="BP27" s="36"/>
      <c r="BQ27" s="29"/>
      <c r="BR27" s="34"/>
      <c r="BS27" s="35"/>
      <c r="BT27" s="35"/>
      <c r="BU27" s="35"/>
      <c r="BV27" s="36"/>
      <c r="BW27" s="29"/>
      <c r="BX27" s="34"/>
      <c r="BY27" s="35"/>
      <c r="BZ27" s="35"/>
      <c r="CA27" s="35"/>
      <c r="CB27" s="36"/>
      <c r="CC27" s="29"/>
      <c r="CD27" s="34"/>
      <c r="CE27" s="35"/>
      <c r="CF27" s="35"/>
      <c r="CG27" s="35"/>
      <c r="CH27" s="36"/>
      <c r="CI27" s="27"/>
      <c r="CJ27" s="34"/>
      <c r="CK27" s="35"/>
      <c r="CL27" s="35"/>
      <c r="CM27" s="35"/>
      <c r="CN27" s="36"/>
      <c r="CO27" s="29"/>
      <c r="CP27" s="34"/>
      <c r="CQ27" s="35"/>
      <c r="CR27" s="35"/>
      <c r="CS27" s="35"/>
      <c r="CT27" s="36"/>
      <c r="CU27" s="29"/>
    </row>
    <row r="28" spans="1:99" s="30" customFormat="1">
      <c r="A28" s="74" t="s">
        <v>38</v>
      </c>
      <c r="B28" s="74"/>
      <c r="C28" s="75"/>
      <c r="D28" s="59" t="s">
        <v>24</v>
      </c>
      <c r="E28" s="59" t="s">
        <v>35</v>
      </c>
      <c r="F28" s="31" cm="1">
        <f t="array" ref="F28">SommeSiCouleurPlage($J28:$CU28,getCouleur($G$39))+SommeSiCouleurPlage($J28:$CU28,getCouleur($P$39))</f>
        <v>7</v>
      </c>
      <c r="G28" s="31" cm="1">
        <f t="array" ref="G28">SommeSiCouleurPlage($J28:$CU28,getCouleur($J$39))+SommeSiCouleurPlage($J28:$CU28,getCouleur($P$39))</f>
        <v>0</v>
      </c>
      <c r="H28" s="31">
        <f t="shared" ref="H28" si="3">F28-G28</f>
        <v>7</v>
      </c>
      <c r="I28" s="23"/>
      <c r="J28" s="65"/>
      <c r="K28" s="66"/>
      <c r="L28" s="26"/>
      <c r="M28" s="27"/>
      <c r="N28" s="33"/>
      <c r="O28" s="27"/>
      <c r="P28" s="65"/>
      <c r="Q28" s="66"/>
      <c r="R28" s="26"/>
      <c r="S28" s="27"/>
      <c r="T28" s="33"/>
      <c r="U28" s="27"/>
      <c r="V28" s="38"/>
      <c r="W28" s="27"/>
      <c r="X28" s="26"/>
      <c r="Y28" s="27"/>
      <c r="Z28" s="33"/>
      <c r="AA28" s="27"/>
      <c r="AB28" s="32"/>
      <c r="AC28" s="27"/>
      <c r="AD28" s="26"/>
      <c r="AE28" s="27"/>
      <c r="AF28" s="33"/>
      <c r="AG28" s="27"/>
      <c r="AH28" s="65"/>
      <c r="AI28" s="66"/>
      <c r="AJ28" s="26"/>
      <c r="AK28" s="78"/>
      <c r="AL28" s="79"/>
      <c r="AM28" s="27"/>
      <c r="AN28" s="78"/>
      <c r="AO28" s="79"/>
      <c r="AP28" s="26"/>
      <c r="AQ28" s="78"/>
      <c r="AR28" s="79"/>
      <c r="AS28" s="27"/>
      <c r="AT28" s="32"/>
      <c r="AU28" s="27"/>
      <c r="AV28" s="26"/>
      <c r="AX28" s="33"/>
      <c r="AY28" s="27"/>
      <c r="AZ28" s="32"/>
      <c r="BA28" s="27"/>
      <c r="BB28" s="26"/>
      <c r="BD28" s="33"/>
      <c r="BE28" s="27"/>
      <c r="BF28" s="32"/>
      <c r="BG28" s="27"/>
      <c r="BH28" s="26"/>
      <c r="BI28" s="27"/>
      <c r="BJ28" s="33"/>
      <c r="BK28" s="27"/>
      <c r="BL28" s="65"/>
      <c r="BM28" s="66"/>
      <c r="BN28" s="26"/>
      <c r="BO28" s="84">
        <v>1</v>
      </c>
      <c r="BP28" s="85"/>
      <c r="BQ28" s="29"/>
      <c r="BR28" s="84">
        <v>1</v>
      </c>
      <c r="BS28" s="85"/>
      <c r="BT28" s="26"/>
      <c r="BU28" s="84">
        <v>1</v>
      </c>
      <c r="BV28" s="85"/>
      <c r="BW28" s="29"/>
      <c r="BX28" s="84">
        <v>1</v>
      </c>
      <c r="BY28" s="85"/>
      <c r="BZ28" s="26"/>
      <c r="CA28" s="84">
        <v>1</v>
      </c>
      <c r="CB28" s="85"/>
      <c r="CC28" s="29"/>
      <c r="CD28" s="84">
        <v>1</v>
      </c>
      <c r="CE28" s="85"/>
      <c r="CF28" s="26"/>
      <c r="CG28" s="84">
        <v>1</v>
      </c>
      <c r="CH28" s="85"/>
      <c r="CI28" s="27"/>
      <c r="CJ28" s="80"/>
      <c r="CK28" s="81"/>
      <c r="CL28" s="26"/>
      <c r="CM28" s="80"/>
      <c r="CN28" s="81"/>
      <c r="CO28" s="29"/>
      <c r="CP28" s="80"/>
      <c r="CQ28" s="81"/>
      <c r="CR28" s="26"/>
      <c r="CS28" s="80"/>
      <c r="CT28" s="81"/>
      <c r="CU28" s="29"/>
    </row>
    <row r="29" spans="1:99" s="30" customFormat="1">
      <c r="A29" s="113" t="s">
        <v>39</v>
      </c>
      <c r="B29" s="113"/>
      <c r="C29" s="114"/>
      <c r="D29" s="58" t="s">
        <v>20</v>
      </c>
      <c r="E29" s="58" t="s">
        <v>34</v>
      </c>
      <c r="F29" s="22" cm="1">
        <f t="array" ref="F29">SommeSiCouleurPlage($J29:$CU29,getCouleur($G$39))+SommeSiCouleurPlage($J29:$CU29,getCouleur($P$39))</f>
        <v>3</v>
      </c>
      <c r="G29" s="22" cm="1">
        <f t="array" ref="G29">SommeSiCouleurPlage($J29:$CU29,getCouleur($J$39))+SommeSiCouleurPlage($J29:$CU29,getCouleur($P$39))</f>
        <v>3</v>
      </c>
      <c r="H29" s="22">
        <f t="shared" ref="H29" si="4">F29-G29</f>
        <v>0</v>
      </c>
      <c r="I29" s="23"/>
      <c r="J29" s="65"/>
      <c r="K29" s="66"/>
      <c r="L29" s="26"/>
      <c r="M29" s="25"/>
      <c r="N29" s="28"/>
      <c r="O29" s="27"/>
      <c r="P29" s="65"/>
      <c r="Q29" s="66"/>
      <c r="R29" s="26"/>
      <c r="S29" s="25"/>
      <c r="T29" s="28"/>
      <c r="U29" s="27"/>
      <c r="V29" s="24"/>
      <c r="W29" s="25"/>
      <c r="X29" s="26"/>
      <c r="Y29" s="25"/>
      <c r="Z29" s="28"/>
      <c r="AA29" s="27"/>
      <c r="AB29" s="24"/>
      <c r="AC29" s="25"/>
      <c r="AD29" s="26"/>
      <c r="AE29" s="25"/>
      <c r="AF29" s="28"/>
      <c r="AG29" s="27"/>
      <c r="AH29" s="65"/>
      <c r="AI29" s="66"/>
      <c r="AJ29" s="26"/>
      <c r="AK29" s="80"/>
      <c r="AL29" s="81"/>
      <c r="AM29" s="27"/>
      <c r="AN29" s="80"/>
      <c r="AO29" s="81"/>
      <c r="AP29" s="26"/>
      <c r="AQ29" s="80"/>
      <c r="AR29" s="81"/>
      <c r="AS29" s="27"/>
      <c r="AT29" s="24"/>
      <c r="AU29" s="25"/>
      <c r="AV29" s="26"/>
      <c r="AW29" s="25"/>
      <c r="AX29" s="28"/>
      <c r="AY29" s="27"/>
      <c r="AZ29" s="24"/>
      <c r="BA29" s="25"/>
      <c r="BB29" s="26"/>
      <c r="BC29" s="25"/>
      <c r="BD29" s="28"/>
      <c r="BE29" s="27"/>
      <c r="BF29" s="24"/>
      <c r="BG29" s="25"/>
      <c r="BH29" s="26"/>
      <c r="BI29" s="25"/>
      <c r="BJ29" s="28"/>
      <c r="BK29" s="27"/>
      <c r="BL29" s="65"/>
      <c r="BM29" s="66"/>
      <c r="BN29" s="26"/>
      <c r="BO29" s="84">
        <v>1</v>
      </c>
      <c r="BP29" s="85"/>
      <c r="BQ29" s="29"/>
      <c r="BR29" s="84">
        <v>1</v>
      </c>
      <c r="BS29" s="85"/>
      <c r="BT29" s="26"/>
      <c r="BU29" s="117">
        <v>1</v>
      </c>
      <c r="BV29" s="116"/>
      <c r="BW29" s="29"/>
      <c r="BX29" s="76">
        <v>1</v>
      </c>
      <c r="BY29" s="77"/>
      <c r="BZ29" s="55"/>
      <c r="CA29" s="76">
        <v>1</v>
      </c>
      <c r="CB29" s="77"/>
      <c r="CC29" s="29"/>
      <c r="CD29" s="78"/>
      <c r="CE29" s="79"/>
      <c r="CF29" s="26"/>
      <c r="CG29" s="78"/>
      <c r="CH29" s="79"/>
      <c r="CI29" s="27"/>
      <c r="CJ29" s="78"/>
      <c r="CK29" s="79"/>
      <c r="CL29" s="26"/>
      <c r="CM29" s="78"/>
      <c r="CN29" s="79"/>
      <c r="CO29" s="29"/>
      <c r="CP29" s="78"/>
      <c r="CQ29" s="79"/>
      <c r="CR29" s="26"/>
      <c r="CS29" s="78"/>
      <c r="CT29" s="79"/>
      <c r="CU29" s="29"/>
    </row>
    <row r="30" spans="1:99" s="30" customFormat="1">
      <c r="A30" s="74" t="s">
        <v>40</v>
      </c>
      <c r="B30" s="74"/>
      <c r="C30" s="75"/>
      <c r="D30" s="59" t="s">
        <v>19</v>
      </c>
      <c r="E30" s="59" t="s">
        <v>34</v>
      </c>
      <c r="F30" s="31" cm="1">
        <f t="array" ref="F30">SommeSiCouleurPlage($J30:$CU30,getCouleur($G$39))+SommeSiCouleurPlage($J30:$CU30,getCouleur($P$39))</f>
        <v>2</v>
      </c>
      <c r="G30" s="31" cm="1">
        <f t="array" ref="G30">SommeSiCouleurPlage($J30:$CU30,getCouleur($J$39))+SommeSiCouleurPlage($J30:$CU30,getCouleur($P$39))</f>
        <v>1</v>
      </c>
      <c r="H30" s="31">
        <f t="shared" si="0"/>
        <v>1</v>
      </c>
      <c r="I30" s="23"/>
      <c r="J30" s="65"/>
      <c r="K30" s="66"/>
      <c r="L30" s="26"/>
      <c r="M30" s="27"/>
      <c r="N30" s="33"/>
      <c r="O30" s="27"/>
      <c r="P30" s="65"/>
      <c r="Q30" s="66"/>
      <c r="R30" s="26"/>
      <c r="S30" s="27"/>
      <c r="T30" s="33"/>
      <c r="U30" s="27"/>
      <c r="V30" s="38"/>
      <c r="W30" s="27"/>
      <c r="X30" s="26"/>
      <c r="Y30" s="27"/>
      <c r="Z30" s="33"/>
      <c r="AA30" s="27"/>
      <c r="AB30" s="32"/>
      <c r="AC30" s="27"/>
      <c r="AD30" s="26"/>
      <c r="AE30" s="27"/>
      <c r="AF30" s="33"/>
      <c r="AG30" s="27"/>
      <c r="AH30" s="65"/>
      <c r="AI30" s="66"/>
      <c r="AJ30" s="26"/>
      <c r="AK30" s="78"/>
      <c r="AL30" s="79"/>
      <c r="AM30" s="27"/>
      <c r="AN30" s="78"/>
      <c r="AO30" s="79"/>
      <c r="AP30" s="26"/>
      <c r="AQ30" s="78"/>
      <c r="AR30" s="79"/>
      <c r="AS30" s="27"/>
      <c r="AT30" s="32"/>
      <c r="AU30" s="27"/>
      <c r="AV30" s="26"/>
      <c r="AW30" s="27"/>
      <c r="AX30" s="33"/>
      <c r="AY30" s="27"/>
      <c r="AZ30" s="32"/>
      <c r="BA30" s="27"/>
      <c r="BB30" s="26"/>
      <c r="BC30" s="82">
        <v>1</v>
      </c>
      <c r="BD30" s="83"/>
      <c r="BE30" s="27"/>
      <c r="BF30" s="32"/>
      <c r="BG30" s="27"/>
      <c r="BH30" s="26"/>
      <c r="BI30" s="27"/>
      <c r="BJ30" s="33"/>
      <c r="BK30" s="27"/>
      <c r="BL30" s="65"/>
      <c r="BM30" s="66"/>
      <c r="BN30" s="26"/>
      <c r="BO30" s="80">
        <v>1</v>
      </c>
      <c r="BP30" s="81"/>
      <c r="BQ30" s="29"/>
      <c r="BR30" s="80"/>
      <c r="BS30" s="81"/>
      <c r="BT30" s="26"/>
      <c r="BU30" s="80"/>
      <c r="BV30" s="81"/>
      <c r="BW30" s="29"/>
      <c r="BX30" s="80"/>
      <c r="BY30" s="81"/>
      <c r="BZ30" s="26"/>
      <c r="CA30" s="80"/>
      <c r="CB30" s="81"/>
      <c r="CC30" s="29"/>
      <c r="CD30" s="84">
        <v>1</v>
      </c>
      <c r="CE30" s="85"/>
      <c r="CF30" s="26"/>
      <c r="CG30" s="80">
        <v>1</v>
      </c>
      <c r="CH30" s="81"/>
      <c r="CI30" s="27"/>
      <c r="CJ30" s="80"/>
      <c r="CK30" s="81"/>
      <c r="CL30" s="26"/>
      <c r="CM30" s="80"/>
      <c r="CN30" s="81"/>
      <c r="CO30" s="29"/>
      <c r="CP30" s="80"/>
      <c r="CQ30" s="81"/>
      <c r="CR30" s="26"/>
      <c r="CS30" s="80"/>
      <c r="CT30" s="81"/>
      <c r="CU30" s="29"/>
    </row>
    <row r="31" spans="1:99" s="30" customFormat="1">
      <c r="A31" s="74" t="s">
        <v>41</v>
      </c>
      <c r="B31" s="74"/>
      <c r="C31" s="75"/>
      <c r="D31" s="58" t="s">
        <v>21</v>
      </c>
      <c r="E31" s="58" t="s">
        <v>34</v>
      </c>
      <c r="F31" s="22" cm="1">
        <f t="array" ref="F31">SommeSiCouleurPlage($J31:$CU31,getCouleur($G$39))+SommeSiCouleurPlage($J31:$CU31,getCouleur($P$39))</f>
        <v>0</v>
      </c>
      <c r="G31" s="22" cm="1">
        <f t="array" ref="G31">SommeSiCouleurPlage($J31:$CU31,getCouleur($J$39))+SommeSiCouleurPlage($J31:$CU31,getCouleur($P$39))</f>
        <v>0</v>
      </c>
      <c r="H31" s="22">
        <f t="shared" si="0"/>
        <v>0</v>
      </c>
      <c r="I31" s="23"/>
      <c r="J31" s="65"/>
      <c r="K31" s="66"/>
      <c r="L31" s="26"/>
      <c r="M31" s="25"/>
      <c r="N31" s="28"/>
      <c r="O31" s="27"/>
      <c r="P31" s="65"/>
      <c r="Q31" s="71"/>
      <c r="R31" s="26"/>
      <c r="S31" s="25"/>
      <c r="T31" s="28"/>
      <c r="U31" s="27"/>
      <c r="V31" s="24"/>
      <c r="W31" s="25"/>
      <c r="X31" s="26"/>
      <c r="Y31" s="25"/>
      <c r="Z31" s="28"/>
      <c r="AA31" s="27"/>
      <c r="AB31" s="24"/>
      <c r="AC31" s="25"/>
      <c r="AD31" s="26"/>
      <c r="AE31" s="39"/>
      <c r="AF31" s="28"/>
      <c r="AG31" s="27"/>
      <c r="AH31" s="65"/>
      <c r="AI31" s="66"/>
      <c r="AJ31" s="26"/>
      <c r="AK31" s="80"/>
      <c r="AL31" s="81"/>
      <c r="AM31" s="27"/>
      <c r="AN31" s="80"/>
      <c r="AO31" s="81"/>
      <c r="AP31" s="26"/>
      <c r="AQ31" s="80"/>
      <c r="AR31" s="81"/>
      <c r="AS31" s="27"/>
      <c r="AT31" s="24"/>
      <c r="AU31" s="25"/>
      <c r="AV31" s="26"/>
      <c r="AW31" s="25"/>
      <c r="AX31" s="28"/>
      <c r="AY31" s="27"/>
      <c r="AZ31" s="24"/>
      <c r="BA31" s="25"/>
      <c r="BB31" s="26"/>
      <c r="BC31" s="25"/>
      <c r="BD31" s="28"/>
      <c r="BE31" s="27"/>
      <c r="BF31" s="24"/>
      <c r="BG31" s="25"/>
      <c r="BH31" s="26"/>
      <c r="BI31" s="25"/>
      <c r="BJ31" s="28"/>
      <c r="BK31" s="27"/>
      <c r="BL31" s="65"/>
      <c r="BM31" s="66"/>
      <c r="BN31" s="26"/>
      <c r="BO31" s="78"/>
      <c r="BP31" s="79"/>
      <c r="BQ31" s="29"/>
      <c r="BR31" s="78"/>
      <c r="BS31" s="79"/>
      <c r="BT31" s="26"/>
      <c r="BU31" s="78"/>
      <c r="BV31" s="79"/>
      <c r="BW31" s="29"/>
      <c r="BX31" s="78"/>
      <c r="BY31" s="79"/>
      <c r="BZ31" s="26"/>
      <c r="CA31" s="78"/>
      <c r="CB31" s="79"/>
      <c r="CC31" s="29"/>
      <c r="CD31" s="78"/>
      <c r="CE31" s="79"/>
      <c r="CF31" s="26"/>
      <c r="CG31" s="78"/>
      <c r="CH31" s="79"/>
      <c r="CI31" s="27"/>
      <c r="CJ31" s="78"/>
      <c r="CK31" s="79"/>
      <c r="CL31" s="26"/>
      <c r="CM31" s="78"/>
      <c r="CN31" s="79"/>
      <c r="CO31" s="29"/>
      <c r="CP31" s="78"/>
      <c r="CQ31" s="79"/>
      <c r="CR31" s="26"/>
      <c r="CS31" s="78"/>
      <c r="CT31" s="79"/>
      <c r="CU31" s="29"/>
    </row>
    <row r="32" spans="1:99" s="30" customFormat="1">
      <c r="A32" s="74" t="s">
        <v>48</v>
      </c>
      <c r="B32" s="74"/>
      <c r="C32" s="75"/>
      <c r="D32" s="59" t="s">
        <v>19</v>
      </c>
      <c r="E32" s="59" t="s">
        <v>34</v>
      </c>
      <c r="F32" s="31" cm="1">
        <f t="array" ref="F32">SommeSiCouleurPlage($J32:$CU32,getCouleur($G$39))+SommeSiCouleurPlage($J32:$CU32,getCouleur($P$39))</f>
        <v>1</v>
      </c>
      <c r="G32" s="31" cm="1">
        <f t="array" ref="G32">SommeSiCouleurPlage($J32:$CU32,getCouleur($J$39))+SommeSiCouleurPlage($J32:$CU32,getCouleur($P$39))</f>
        <v>4</v>
      </c>
      <c r="H32" s="31">
        <f t="shared" ref="H32:H33" si="5">F32-G32</f>
        <v>-3</v>
      </c>
      <c r="I32" s="23"/>
      <c r="J32" s="65"/>
      <c r="K32" s="66"/>
      <c r="L32" s="26"/>
      <c r="M32" s="27"/>
      <c r="N32" s="33"/>
      <c r="O32" s="27"/>
      <c r="P32" s="65"/>
      <c r="Q32" s="66"/>
      <c r="R32" s="26"/>
      <c r="S32" s="27"/>
      <c r="T32" s="33"/>
      <c r="U32" s="27"/>
      <c r="V32" s="38"/>
      <c r="W32" s="27"/>
      <c r="X32" s="26"/>
      <c r="Y32" s="27"/>
      <c r="Z32" s="33"/>
      <c r="AA32" s="27"/>
      <c r="AB32" s="32"/>
      <c r="AC32" s="27"/>
      <c r="AD32" s="26"/>
      <c r="AE32" s="27"/>
      <c r="AF32" s="33"/>
      <c r="AG32" s="27"/>
      <c r="AH32" s="65"/>
      <c r="AI32" s="66"/>
      <c r="AJ32" s="26"/>
      <c r="AK32" s="78"/>
      <c r="AL32" s="79"/>
      <c r="AM32" s="27"/>
      <c r="AN32" s="78"/>
      <c r="AO32" s="79"/>
      <c r="AP32" s="26"/>
      <c r="AQ32" s="78"/>
      <c r="AR32" s="79"/>
      <c r="AS32" s="27"/>
      <c r="AT32" s="32"/>
      <c r="AU32" s="27"/>
      <c r="AV32" s="26"/>
      <c r="AW32" s="27"/>
      <c r="AX32" s="33"/>
      <c r="AY32" s="27"/>
      <c r="AZ32" s="32"/>
      <c r="BA32" s="27"/>
      <c r="BB32" s="26"/>
      <c r="BC32" s="120"/>
      <c r="BD32" s="121"/>
      <c r="BE32" s="27"/>
      <c r="BF32" s="32"/>
      <c r="BG32" s="27"/>
      <c r="BH32" s="26"/>
      <c r="BI32" s="27"/>
      <c r="BJ32" s="33"/>
      <c r="BK32" s="27"/>
      <c r="BL32" s="65"/>
      <c r="BM32" s="66"/>
      <c r="BN32" s="26"/>
      <c r="BO32" s="80">
        <v>1</v>
      </c>
      <c r="BP32" s="81"/>
      <c r="BQ32" s="29"/>
      <c r="BR32" s="80"/>
      <c r="BS32" s="81"/>
      <c r="BT32" s="26"/>
      <c r="BU32" s="80"/>
      <c r="BV32" s="81"/>
      <c r="BW32" s="29"/>
      <c r="BX32" s="80"/>
      <c r="BY32" s="81"/>
      <c r="BZ32" s="26"/>
      <c r="CA32" s="80"/>
      <c r="CB32" s="81"/>
      <c r="CC32" s="29"/>
      <c r="CD32" s="82">
        <v>1</v>
      </c>
      <c r="CE32" s="83"/>
      <c r="CF32" s="26"/>
      <c r="CG32" s="76">
        <v>1</v>
      </c>
      <c r="CH32" s="77"/>
      <c r="CI32" s="54"/>
      <c r="CJ32" s="76">
        <v>1</v>
      </c>
      <c r="CK32" s="77"/>
      <c r="CL32" s="55"/>
      <c r="CM32" s="76">
        <v>1</v>
      </c>
      <c r="CN32" s="77"/>
      <c r="CO32" s="29"/>
      <c r="CP32" s="80"/>
      <c r="CQ32" s="81"/>
      <c r="CR32" s="26"/>
      <c r="CS32" s="80"/>
      <c r="CT32" s="81"/>
      <c r="CU32" s="29"/>
    </row>
    <row r="33" spans="1:99" s="30" customFormat="1">
      <c r="A33" s="74" t="s">
        <v>49</v>
      </c>
      <c r="B33" s="74"/>
      <c r="C33" s="75"/>
      <c r="D33" s="58" t="s">
        <v>21</v>
      </c>
      <c r="E33" s="58" t="s">
        <v>34</v>
      </c>
      <c r="F33" s="22" cm="1">
        <f t="array" ref="F33">SommeSiCouleurPlage($J33:$CU33,getCouleur($G$39))+SommeSiCouleurPlage($J33:$CU33,getCouleur($P$39))</f>
        <v>0</v>
      </c>
      <c r="G33" s="22" cm="1">
        <f t="array" ref="G33">SommeSiCouleurPlage($J33:$CU33,getCouleur($J$39))+SommeSiCouleurPlage($J33:$CU33,getCouleur($P$39))</f>
        <v>0</v>
      </c>
      <c r="H33" s="22">
        <f t="shared" si="5"/>
        <v>0</v>
      </c>
      <c r="I33" s="23"/>
      <c r="J33" s="65"/>
      <c r="K33" s="66"/>
      <c r="L33" s="26"/>
      <c r="M33" s="25"/>
      <c r="N33" s="28"/>
      <c r="O33" s="27"/>
      <c r="P33" s="65"/>
      <c r="Q33" s="71"/>
      <c r="R33" s="26"/>
      <c r="S33" s="25"/>
      <c r="T33" s="28"/>
      <c r="U33" s="27"/>
      <c r="V33" s="24"/>
      <c r="W33" s="25"/>
      <c r="X33" s="26"/>
      <c r="Y33" s="25"/>
      <c r="Z33" s="28"/>
      <c r="AA33" s="27"/>
      <c r="AB33" s="24"/>
      <c r="AC33" s="25"/>
      <c r="AD33" s="26"/>
      <c r="AE33" s="39"/>
      <c r="AF33" s="28"/>
      <c r="AG33" s="27"/>
      <c r="AH33" s="65"/>
      <c r="AI33" s="66"/>
      <c r="AJ33" s="26"/>
      <c r="AK33" s="80"/>
      <c r="AL33" s="81"/>
      <c r="AM33" s="27"/>
      <c r="AN33" s="80"/>
      <c r="AO33" s="81"/>
      <c r="AP33" s="26"/>
      <c r="AQ33" s="80"/>
      <c r="AR33" s="81"/>
      <c r="AS33" s="27"/>
      <c r="AT33" s="24"/>
      <c r="AU33" s="25"/>
      <c r="AV33" s="26"/>
      <c r="AW33" s="25"/>
      <c r="AX33" s="28"/>
      <c r="AY33" s="27"/>
      <c r="AZ33" s="24"/>
      <c r="BA33" s="25"/>
      <c r="BB33" s="26"/>
      <c r="BC33" s="25"/>
      <c r="BD33" s="28"/>
      <c r="BE33" s="27"/>
      <c r="BF33" s="24"/>
      <c r="BG33" s="25"/>
      <c r="BH33" s="26"/>
      <c r="BI33" s="25"/>
      <c r="BJ33" s="28"/>
      <c r="BK33" s="27"/>
      <c r="BL33" s="65"/>
      <c r="BM33" s="66"/>
      <c r="BN33" s="26"/>
      <c r="BO33" s="78"/>
      <c r="BP33" s="79"/>
      <c r="BQ33" s="29"/>
      <c r="BR33" s="78"/>
      <c r="BS33" s="79"/>
      <c r="BT33" s="26"/>
      <c r="BU33" s="78"/>
      <c r="BV33" s="79"/>
      <c r="BW33" s="29"/>
      <c r="BX33" s="78"/>
      <c r="BY33" s="79"/>
      <c r="BZ33" s="26"/>
      <c r="CA33" s="78"/>
      <c r="CB33" s="79"/>
      <c r="CC33" s="29"/>
      <c r="CD33" s="78"/>
      <c r="CE33" s="79"/>
      <c r="CF33" s="26"/>
      <c r="CG33" s="78"/>
      <c r="CH33" s="79"/>
      <c r="CI33" s="27"/>
      <c r="CJ33" s="78"/>
      <c r="CK33" s="79"/>
      <c r="CL33" s="26"/>
      <c r="CM33" s="78"/>
      <c r="CN33" s="79"/>
      <c r="CO33" s="29"/>
      <c r="CP33" s="78"/>
      <c r="CQ33" s="79"/>
      <c r="CR33" s="26"/>
      <c r="CS33" s="78"/>
      <c r="CT33" s="79"/>
      <c r="CU33" s="29"/>
    </row>
    <row r="34" spans="1:99" s="30" customFormat="1" ht="15">
      <c r="A34" s="105" t="s">
        <v>31</v>
      </c>
      <c r="B34" s="122"/>
      <c r="C34" s="123"/>
      <c r="D34" s="46" t="s">
        <v>42</v>
      </c>
      <c r="E34" s="46"/>
      <c r="F34" s="5">
        <f>SUM(F35:F35)</f>
        <v>5</v>
      </c>
      <c r="G34" s="5">
        <f>SUM(G35:G35)</f>
        <v>4</v>
      </c>
      <c r="H34" s="6">
        <f>SUM(H35:H35)</f>
        <v>1</v>
      </c>
      <c r="I34" s="11"/>
      <c r="J34" s="34"/>
      <c r="K34" s="35"/>
      <c r="L34" s="35"/>
      <c r="M34" s="35"/>
      <c r="N34" s="36"/>
      <c r="O34" s="27"/>
      <c r="P34" s="34"/>
      <c r="Q34" s="35"/>
      <c r="R34" s="35"/>
      <c r="S34" s="35"/>
      <c r="T34" s="36"/>
      <c r="U34" s="27"/>
      <c r="V34" s="34"/>
      <c r="W34" s="35"/>
      <c r="X34" s="35"/>
      <c r="Y34" s="35"/>
      <c r="Z34" s="36"/>
      <c r="AA34" s="27"/>
      <c r="AB34" s="34"/>
      <c r="AC34" s="35"/>
      <c r="AD34" s="35"/>
      <c r="AE34" s="35"/>
      <c r="AF34" s="36"/>
      <c r="AG34" s="27"/>
      <c r="AH34" s="34"/>
      <c r="AI34" s="35"/>
      <c r="AJ34" s="35"/>
      <c r="AK34" s="35"/>
      <c r="AL34" s="36"/>
      <c r="AM34" s="27"/>
      <c r="AN34" s="34"/>
      <c r="AO34" s="35"/>
      <c r="AP34" s="35"/>
      <c r="AQ34" s="35"/>
      <c r="AR34" s="36"/>
      <c r="AS34" s="27"/>
      <c r="AT34" s="34"/>
      <c r="AU34" s="35"/>
      <c r="AV34" s="35"/>
      <c r="AW34" s="35"/>
      <c r="AX34" s="36"/>
      <c r="AY34" s="27"/>
      <c r="AZ34" s="34"/>
      <c r="BA34" s="35"/>
      <c r="BB34" s="35"/>
      <c r="BC34" s="35"/>
      <c r="BD34" s="36"/>
      <c r="BE34" s="27"/>
      <c r="BF34" s="34"/>
      <c r="BG34" s="35"/>
      <c r="BH34" s="35"/>
      <c r="BI34" s="35"/>
      <c r="BJ34" s="36"/>
      <c r="BK34" s="27"/>
      <c r="BL34" s="34"/>
      <c r="BM34" s="35"/>
      <c r="BN34" s="35"/>
      <c r="BO34" s="35"/>
      <c r="BP34" s="36"/>
      <c r="BQ34" s="29"/>
      <c r="BR34" s="34"/>
      <c r="BS34" s="35"/>
      <c r="BT34" s="35"/>
      <c r="BU34" s="35"/>
      <c r="BV34" s="36"/>
      <c r="BW34" s="29"/>
      <c r="BX34" s="34"/>
      <c r="BY34" s="35"/>
      <c r="BZ34" s="35"/>
      <c r="CA34" s="35"/>
      <c r="CB34" s="36"/>
      <c r="CC34" s="29"/>
      <c r="CD34" s="34"/>
      <c r="CE34" s="35"/>
      <c r="CF34" s="35"/>
      <c r="CG34" s="35"/>
      <c r="CH34" s="36"/>
      <c r="CI34" s="27"/>
      <c r="CJ34" s="34"/>
      <c r="CK34" s="35"/>
      <c r="CL34" s="35"/>
      <c r="CM34" s="35"/>
      <c r="CN34" s="36"/>
      <c r="CO34" s="29"/>
      <c r="CP34" s="34"/>
      <c r="CQ34" s="35"/>
      <c r="CR34" s="35"/>
      <c r="CS34" s="35"/>
      <c r="CT34" s="36"/>
      <c r="CU34" s="29"/>
    </row>
    <row r="35" spans="1:99" s="30" customFormat="1" ht="13.9" thickBot="1">
      <c r="A35" s="113" t="s">
        <v>32</v>
      </c>
      <c r="B35" s="113"/>
      <c r="C35" s="114"/>
      <c r="D35" s="126" t="s">
        <v>42</v>
      </c>
      <c r="E35" s="126" t="s">
        <v>34</v>
      </c>
      <c r="F35" s="22" cm="1">
        <f t="array" ref="F35">SommeSiCouleurPlage($J35:$CU35,getCouleur($G$39))+SommeSiCouleurPlage($J35:$CU35,getCouleur($P$39))</f>
        <v>5</v>
      </c>
      <c r="G35" s="22" cm="1">
        <f t="array" ref="G35">SommeSiCouleurPlage($J35:$CU35,getCouleur($J$39))+SommeSiCouleurPlage($J35:$CU35,getCouleur($P$39))</f>
        <v>4</v>
      </c>
      <c r="H35" s="22">
        <f t="shared" si="0"/>
        <v>1</v>
      </c>
      <c r="I35" s="23"/>
      <c r="J35" s="65"/>
      <c r="K35" s="66"/>
      <c r="L35" s="26"/>
      <c r="M35" s="25"/>
      <c r="N35" s="28"/>
      <c r="O35" s="27"/>
      <c r="P35" s="65"/>
      <c r="Q35" s="66"/>
      <c r="R35" s="26"/>
      <c r="S35" s="25"/>
      <c r="T35" s="28"/>
      <c r="U35" s="27"/>
      <c r="V35" s="24"/>
      <c r="W35" s="25"/>
      <c r="X35" s="26"/>
      <c r="Y35" s="25"/>
      <c r="Z35" s="28"/>
      <c r="AA35" s="27"/>
      <c r="AB35" s="24"/>
      <c r="AC35" s="25"/>
      <c r="AD35" s="26"/>
      <c r="AE35" s="82">
        <v>1</v>
      </c>
      <c r="AF35" s="83"/>
      <c r="AG35" s="27"/>
      <c r="AH35" s="65"/>
      <c r="AI35" s="66"/>
      <c r="AJ35" s="26"/>
      <c r="AK35" s="78"/>
      <c r="AL35" s="79"/>
      <c r="AM35" s="27"/>
      <c r="AN35" s="24"/>
      <c r="AO35" s="25"/>
      <c r="AP35" s="26"/>
      <c r="AQ35" s="25"/>
      <c r="AR35" s="28"/>
      <c r="AS35" s="27"/>
      <c r="AT35" s="24"/>
      <c r="AU35" s="25"/>
      <c r="AV35" s="26"/>
      <c r="AW35" s="25"/>
      <c r="AX35" s="28"/>
      <c r="AY35" s="27"/>
      <c r="AZ35" s="24"/>
      <c r="BA35" s="25"/>
      <c r="BB35" s="26"/>
      <c r="BC35" s="25"/>
      <c r="BD35" s="28"/>
      <c r="BE35" s="27"/>
      <c r="BF35" s="82">
        <v>1</v>
      </c>
      <c r="BG35" s="83"/>
      <c r="BH35" s="26"/>
      <c r="BI35" s="84">
        <v>1</v>
      </c>
      <c r="BJ35" s="85"/>
      <c r="BK35" s="27"/>
      <c r="BL35" s="65"/>
      <c r="BM35" s="66"/>
      <c r="BN35" s="26"/>
      <c r="BO35" s="25"/>
      <c r="BP35" s="28"/>
      <c r="BQ35" s="29"/>
      <c r="BR35" s="24"/>
      <c r="BS35" s="25"/>
      <c r="BT35" s="26"/>
      <c r="BU35" s="25"/>
      <c r="BV35" s="28"/>
      <c r="BW35" s="29"/>
      <c r="BX35" s="24"/>
      <c r="BY35" s="25"/>
      <c r="BZ35" s="26"/>
      <c r="CA35" s="25"/>
      <c r="CB35" s="28"/>
      <c r="CC35" s="29"/>
      <c r="CD35" s="24"/>
      <c r="CE35" s="25"/>
      <c r="CF35" s="26"/>
      <c r="CG35" s="25"/>
      <c r="CH35" s="28"/>
      <c r="CI35" s="27"/>
      <c r="CJ35" s="24"/>
      <c r="CK35" s="25"/>
      <c r="CL35" s="26"/>
      <c r="CM35" s="25"/>
      <c r="CN35" s="28"/>
      <c r="CO35" s="29"/>
      <c r="CP35" s="82">
        <v>1</v>
      </c>
      <c r="CQ35" s="83"/>
      <c r="CR35" s="26"/>
      <c r="CS35" s="82">
        <v>1</v>
      </c>
      <c r="CT35" s="83"/>
      <c r="CU35" s="29"/>
    </row>
    <row r="36" spans="1:99" s="30" customFormat="1" ht="13.9" thickBot="1">
      <c r="A36" s="108" t="s">
        <v>5</v>
      </c>
      <c r="B36" s="109"/>
      <c r="C36" s="110"/>
      <c r="D36" s="57"/>
      <c r="E36" s="57"/>
      <c r="F36" s="40">
        <f>SUM(F8:F35)/2</f>
        <v>48.5</v>
      </c>
      <c r="G36" s="40">
        <f>SUM(G8:G35)/2</f>
        <v>41.5</v>
      </c>
      <c r="H36" s="40">
        <f>SUM(H8:H35)/2</f>
        <v>7</v>
      </c>
      <c r="I36" s="8"/>
      <c r="J36" s="94">
        <v>8</v>
      </c>
      <c r="K36" s="95"/>
      <c r="L36" s="95"/>
      <c r="M36" s="95"/>
      <c r="N36" s="96"/>
      <c r="P36" s="94">
        <v>8</v>
      </c>
      <c r="Q36" s="95"/>
      <c r="R36" s="95"/>
      <c r="S36" s="95"/>
      <c r="T36" s="96"/>
      <c r="V36" s="94">
        <v>8</v>
      </c>
      <c r="W36" s="95"/>
      <c r="X36" s="95"/>
      <c r="Y36" s="95"/>
      <c r="Z36" s="96"/>
      <c r="AB36" s="94">
        <v>8</v>
      </c>
      <c r="AC36" s="95"/>
      <c r="AD36" s="95"/>
      <c r="AE36" s="95"/>
      <c r="AF36" s="96"/>
      <c r="AH36" s="94">
        <v>8</v>
      </c>
      <c r="AI36" s="95"/>
      <c r="AJ36" s="95"/>
      <c r="AK36" s="95"/>
      <c r="AL36" s="96"/>
      <c r="AN36" s="94">
        <v>8</v>
      </c>
      <c r="AO36" s="95"/>
      <c r="AP36" s="95"/>
      <c r="AQ36" s="95"/>
      <c r="AR36" s="96"/>
      <c r="AT36" s="94">
        <v>8</v>
      </c>
      <c r="AU36" s="95"/>
      <c r="AV36" s="95"/>
      <c r="AW36" s="95"/>
      <c r="AX36" s="96"/>
      <c r="AZ36" s="94">
        <v>8</v>
      </c>
      <c r="BA36" s="95"/>
      <c r="BB36" s="95"/>
      <c r="BC36" s="95"/>
      <c r="BD36" s="96"/>
      <c r="BF36" s="94">
        <v>8</v>
      </c>
      <c r="BG36" s="95"/>
      <c r="BH36" s="95"/>
      <c r="BI36" s="95"/>
      <c r="BJ36" s="96"/>
      <c r="BL36" s="94">
        <v>8</v>
      </c>
      <c r="BM36" s="95"/>
      <c r="BN36" s="95"/>
      <c r="BO36" s="95"/>
      <c r="BP36" s="96"/>
      <c r="BR36" s="94">
        <v>8</v>
      </c>
      <c r="BS36" s="95"/>
      <c r="BT36" s="95"/>
      <c r="BU36" s="95"/>
      <c r="BV36" s="96"/>
      <c r="BX36" s="94">
        <v>8</v>
      </c>
      <c r="BY36" s="95"/>
      <c r="BZ36" s="95"/>
      <c r="CA36" s="95"/>
      <c r="CB36" s="96"/>
      <c r="CD36" s="94">
        <v>8</v>
      </c>
      <c r="CE36" s="95"/>
      <c r="CF36" s="95"/>
      <c r="CG36" s="95"/>
      <c r="CH36" s="96"/>
      <c r="CJ36" s="94">
        <v>8</v>
      </c>
      <c r="CK36" s="95"/>
      <c r="CL36" s="95"/>
      <c r="CM36" s="95"/>
      <c r="CN36" s="96"/>
      <c r="CP36" s="94">
        <v>8</v>
      </c>
      <c r="CQ36" s="95"/>
      <c r="CR36" s="95"/>
      <c r="CS36" s="95"/>
      <c r="CT36" s="96"/>
    </row>
    <row r="39" spans="1:99" ht="17.649999999999999" thickBot="1">
      <c r="A39" s="101">
        <v>88</v>
      </c>
      <c r="B39" s="102"/>
      <c r="C39" s="103"/>
      <c r="D39" s="41"/>
      <c r="E39" s="41"/>
      <c r="F39" s="41"/>
      <c r="G39" s="111" t="s">
        <v>0</v>
      </c>
      <c r="H39" s="111"/>
      <c r="J39" s="112" t="s">
        <v>1</v>
      </c>
      <c r="K39" s="112"/>
      <c r="L39" s="112"/>
      <c r="M39" s="112"/>
      <c r="N39" s="112"/>
      <c r="P39" s="118" t="s">
        <v>7</v>
      </c>
      <c r="Q39" s="118"/>
      <c r="R39" s="118"/>
      <c r="S39" s="118"/>
      <c r="T39" s="118"/>
    </row>
    <row r="40" spans="1:99" ht="17.25" hidden="1">
      <c r="A40" s="41"/>
      <c r="B40" s="41" t="b">
        <f>OR(AND(G36&lt;&gt;0,OR(F36&lt;&gt;G36,H36&lt;&gt;0)), F36&lt;&gt;88)</f>
        <v>1</v>
      </c>
      <c r="C40" s="41"/>
      <c r="D40" s="41"/>
      <c r="E40" s="41"/>
      <c r="F40" s="41"/>
      <c r="G40" s="41"/>
      <c r="H40" s="41"/>
    </row>
    <row r="41" spans="1:99" ht="17.25">
      <c r="A41" s="41"/>
      <c r="B41" s="41"/>
      <c r="C41" s="41"/>
      <c r="D41" s="41"/>
      <c r="E41" s="41"/>
      <c r="F41" s="41"/>
      <c r="G41" s="41"/>
      <c r="H41" s="41"/>
    </row>
  </sheetData>
  <mergeCells count="434">
    <mergeCell ref="BR22:BS22"/>
    <mergeCell ref="BR21:BS21"/>
    <mergeCell ref="BX26:BY26"/>
    <mergeCell ref="CA26:CB26"/>
    <mergeCell ref="A33:C33"/>
    <mergeCell ref="AK33:AL33"/>
    <mergeCell ref="AN33:AO33"/>
    <mergeCell ref="AQ33:AR33"/>
    <mergeCell ref="BO33:BP33"/>
    <mergeCell ref="BR33:BS33"/>
    <mergeCell ref="BU33:BV33"/>
    <mergeCell ref="BX33:BY33"/>
    <mergeCell ref="CA33:CB33"/>
    <mergeCell ref="CD33:CE33"/>
    <mergeCell ref="CG33:CH33"/>
    <mergeCell ref="CJ33:CK33"/>
    <mergeCell ref="CM33:CN33"/>
    <mergeCell ref="CP33:CQ33"/>
    <mergeCell ref="CS33:CT33"/>
    <mergeCell ref="CP35:CQ35"/>
    <mergeCell ref="CS35:CT35"/>
    <mergeCell ref="A32:C32"/>
    <mergeCell ref="AK32:AL32"/>
    <mergeCell ref="AN32:AO32"/>
    <mergeCell ref="AQ32:AR32"/>
    <mergeCell ref="BC32:BD32"/>
    <mergeCell ref="BO32:BP32"/>
    <mergeCell ref="BR32:BS32"/>
    <mergeCell ref="BU32:BV32"/>
    <mergeCell ref="BX32:BY32"/>
    <mergeCell ref="CA32:CB32"/>
    <mergeCell ref="CD32:CE32"/>
    <mergeCell ref="CG32:CH32"/>
    <mergeCell ref="CJ32:CK32"/>
    <mergeCell ref="CM32:CN32"/>
    <mergeCell ref="CP32:CQ32"/>
    <mergeCell ref="CS32:CT32"/>
    <mergeCell ref="G2:H2"/>
    <mergeCell ref="J2:N2"/>
    <mergeCell ref="P2:T2"/>
    <mergeCell ref="AE15:AF15"/>
    <mergeCell ref="AB15:AC15"/>
    <mergeCell ref="Y15:Z15"/>
    <mergeCell ref="Y14:Z14"/>
    <mergeCell ref="V16:W16"/>
    <mergeCell ref="V14:W14"/>
    <mergeCell ref="AE18:AF18"/>
    <mergeCell ref="AB18:AC18"/>
    <mergeCell ref="Y18:Z18"/>
    <mergeCell ref="M12:N12"/>
    <mergeCell ref="M13:N13"/>
    <mergeCell ref="M16:N16"/>
    <mergeCell ref="S16:T16"/>
    <mergeCell ref="S13:T13"/>
    <mergeCell ref="AK7:AL7"/>
    <mergeCell ref="S7:T7"/>
    <mergeCell ref="Y7:Z7"/>
    <mergeCell ref="AB7:AC7"/>
    <mergeCell ref="AE7:AF7"/>
    <mergeCell ref="AH7:AI7"/>
    <mergeCell ref="BC7:BD7"/>
    <mergeCell ref="BF7:BG7"/>
    <mergeCell ref="BI7:BJ7"/>
    <mergeCell ref="CJ7:CK7"/>
    <mergeCell ref="CM7:CN7"/>
    <mergeCell ref="AQ7:AR7"/>
    <mergeCell ref="AT7:AU7"/>
    <mergeCell ref="AW7:AX7"/>
    <mergeCell ref="AZ7:BA7"/>
    <mergeCell ref="AQ11:AR11"/>
    <mergeCell ref="AQ12:AR12"/>
    <mergeCell ref="G39:H39"/>
    <mergeCell ref="J39:N39"/>
    <mergeCell ref="BF36:BJ36"/>
    <mergeCell ref="A8:C8"/>
    <mergeCell ref="A12:C12"/>
    <mergeCell ref="A13:C13"/>
    <mergeCell ref="A18:C18"/>
    <mergeCell ref="A35:C35"/>
    <mergeCell ref="A34:C34"/>
    <mergeCell ref="A31:C31"/>
    <mergeCell ref="A25:C25"/>
    <mergeCell ref="M11:N11"/>
    <mergeCell ref="S12:T12"/>
    <mergeCell ref="V12:W12"/>
    <mergeCell ref="A23:C23"/>
    <mergeCell ref="A27:C27"/>
    <mergeCell ref="A29:C29"/>
    <mergeCell ref="A15:C15"/>
    <mergeCell ref="A16:C16"/>
    <mergeCell ref="A17:C17"/>
    <mergeCell ref="P39:T39"/>
    <mergeCell ref="A24:C24"/>
    <mergeCell ref="A39:C39"/>
    <mergeCell ref="J36:N36"/>
    <mergeCell ref="J6:N6"/>
    <mergeCell ref="A6:C6"/>
    <mergeCell ref="A11:C11"/>
    <mergeCell ref="A38:C38"/>
    <mergeCell ref="AZ36:BD36"/>
    <mergeCell ref="V36:Z36"/>
    <mergeCell ref="AB36:AF36"/>
    <mergeCell ref="AH36:AL36"/>
    <mergeCell ref="AN36:AR36"/>
    <mergeCell ref="AT36:AX36"/>
    <mergeCell ref="A36:C36"/>
    <mergeCell ref="J7:K7"/>
    <mergeCell ref="AN7:AO7"/>
    <mergeCell ref="M7:N7"/>
    <mergeCell ref="P7:Q7"/>
    <mergeCell ref="V7:W7"/>
    <mergeCell ref="P36:T36"/>
    <mergeCell ref="A28:C28"/>
    <mergeCell ref="A30:C30"/>
    <mergeCell ref="A14:C14"/>
    <mergeCell ref="A19:C19"/>
    <mergeCell ref="A20:C20"/>
    <mergeCell ref="A21:C21"/>
    <mergeCell ref="A22:C22"/>
    <mergeCell ref="CJ6:CN6"/>
    <mergeCell ref="AN6:AR6"/>
    <mergeCell ref="AT6:AX6"/>
    <mergeCell ref="AZ6:BD6"/>
    <mergeCell ref="P6:T6"/>
    <mergeCell ref="V6:Z6"/>
    <mergeCell ref="AB6:AF6"/>
    <mergeCell ref="BF6:BJ6"/>
    <mergeCell ref="CJ36:CN36"/>
    <mergeCell ref="CP6:CT6"/>
    <mergeCell ref="CP7:CQ7"/>
    <mergeCell ref="CS7:CT7"/>
    <mergeCell ref="CP36:CT36"/>
    <mergeCell ref="BL36:BP36"/>
    <mergeCell ref="BR36:BV36"/>
    <mergeCell ref="BX36:CB36"/>
    <mergeCell ref="CD36:CH36"/>
    <mergeCell ref="V13:W13"/>
    <mergeCell ref="AK14:AL14"/>
    <mergeCell ref="AK13:AL13"/>
    <mergeCell ref="AK12:AL12"/>
    <mergeCell ref="AK11:AL11"/>
    <mergeCell ref="AK20:AL20"/>
    <mergeCell ref="BL6:BP6"/>
    <mergeCell ref="BR6:BV6"/>
    <mergeCell ref="BX6:CB6"/>
    <mergeCell ref="CD6:CH6"/>
    <mergeCell ref="BL7:BM7"/>
    <mergeCell ref="BO7:BP7"/>
    <mergeCell ref="BR7:BS7"/>
    <mergeCell ref="BU7:BV7"/>
    <mergeCell ref="BX7:BY7"/>
    <mergeCell ref="CA7:CB7"/>
    <mergeCell ref="CD7:CE7"/>
    <mergeCell ref="CG7:CH7"/>
    <mergeCell ref="AH6:AL6"/>
    <mergeCell ref="AK35:AL35"/>
    <mergeCell ref="AN11:AO11"/>
    <mergeCell ref="AN12:AO12"/>
    <mergeCell ref="AN13:AO13"/>
    <mergeCell ref="AN14:AO14"/>
    <mergeCell ref="AN15:AO15"/>
    <mergeCell ref="AN16:AO16"/>
    <mergeCell ref="AN17:AO17"/>
    <mergeCell ref="AN18:AO18"/>
    <mergeCell ref="AN20:AO20"/>
    <mergeCell ref="AN25:AO25"/>
    <mergeCell ref="AK21:AL21"/>
    <mergeCell ref="AK22:AL22"/>
    <mergeCell ref="AK23:AL23"/>
    <mergeCell ref="AK24:AL24"/>
    <mergeCell ref="AK25:AL25"/>
    <mergeCell ref="AK28:AL28"/>
    <mergeCell ref="AK29:AL29"/>
    <mergeCell ref="AK30:AL30"/>
    <mergeCell ref="AK31:AL31"/>
    <mergeCell ref="AK18:AL18"/>
    <mergeCell ref="AK17:AL17"/>
    <mergeCell ref="AK16:AL16"/>
    <mergeCell ref="AK15:AL15"/>
    <mergeCell ref="AQ16:AR16"/>
    <mergeCell ref="AQ17:AR17"/>
    <mergeCell ref="AQ18:AR18"/>
    <mergeCell ref="AQ31:AR31"/>
    <mergeCell ref="AQ20:AR20"/>
    <mergeCell ref="AN21:AO21"/>
    <mergeCell ref="AQ21:AR21"/>
    <mergeCell ref="AN22:AO22"/>
    <mergeCell ref="AQ22:AR22"/>
    <mergeCell ref="AN23:AO23"/>
    <mergeCell ref="AQ23:AR23"/>
    <mergeCell ref="AN24:AO24"/>
    <mergeCell ref="AQ24:AR24"/>
    <mergeCell ref="AT11:AU11"/>
    <mergeCell ref="AW11:AX11"/>
    <mergeCell ref="AT12:AU12"/>
    <mergeCell ref="AW12:AX12"/>
    <mergeCell ref="AT13:AU13"/>
    <mergeCell ref="AW13:AX13"/>
    <mergeCell ref="AT14:AU14"/>
    <mergeCell ref="AW14:AX14"/>
    <mergeCell ref="AT15:AU15"/>
    <mergeCell ref="AW15:AX15"/>
    <mergeCell ref="AQ13:AR13"/>
    <mergeCell ref="AQ14:AR14"/>
    <mergeCell ref="AQ15:AR15"/>
    <mergeCell ref="AZ16:BA16"/>
    <mergeCell ref="BC16:BD16"/>
    <mergeCell ref="AZ17:BA17"/>
    <mergeCell ref="BC17:BD17"/>
    <mergeCell ref="AZ18:BA18"/>
    <mergeCell ref="BC18:BD18"/>
    <mergeCell ref="AT16:AU16"/>
    <mergeCell ref="AW16:AX16"/>
    <mergeCell ref="AT17:AU17"/>
    <mergeCell ref="AW17:AX17"/>
    <mergeCell ref="AT18:AU18"/>
    <mergeCell ref="AW18:AX18"/>
    <mergeCell ref="AZ13:BA13"/>
    <mergeCell ref="BC13:BD13"/>
    <mergeCell ref="AZ14:BA14"/>
    <mergeCell ref="BC14:BD14"/>
    <mergeCell ref="AZ15:BA15"/>
    <mergeCell ref="BC15:BD15"/>
    <mergeCell ref="BF16:BG16"/>
    <mergeCell ref="BI16:BJ16"/>
    <mergeCell ref="BF17:BG17"/>
    <mergeCell ref="BI17:BJ17"/>
    <mergeCell ref="BF18:BG18"/>
    <mergeCell ref="BI18:BJ18"/>
    <mergeCell ref="AZ11:BA11"/>
    <mergeCell ref="BC11:BD11"/>
    <mergeCell ref="BO17:BP17"/>
    <mergeCell ref="BO18:BP18"/>
    <mergeCell ref="BF11:BG11"/>
    <mergeCell ref="BI11:BJ11"/>
    <mergeCell ref="BF12:BG12"/>
    <mergeCell ref="BI12:BJ12"/>
    <mergeCell ref="BF13:BG13"/>
    <mergeCell ref="BI13:BJ13"/>
    <mergeCell ref="BF14:BG14"/>
    <mergeCell ref="BI14:BJ14"/>
    <mergeCell ref="BF15:BG15"/>
    <mergeCell ref="BI15:BJ15"/>
    <mergeCell ref="AZ12:BA12"/>
    <mergeCell ref="BC12:BD12"/>
    <mergeCell ref="BR17:BS17"/>
    <mergeCell ref="BU17:BV17"/>
    <mergeCell ref="BR18:BS18"/>
    <mergeCell ref="BU18:BV18"/>
    <mergeCell ref="BO11:BP11"/>
    <mergeCell ref="BO12:BP12"/>
    <mergeCell ref="BO13:BP13"/>
    <mergeCell ref="BO14:BP14"/>
    <mergeCell ref="BO15:BP15"/>
    <mergeCell ref="BR11:BS11"/>
    <mergeCell ref="BU11:BV11"/>
    <mergeCell ref="BR12:BS12"/>
    <mergeCell ref="BU12:BV12"/>
    <mergeCell ref="BR13:BS13"/>
    <mergeCell ref="BU13:BV13"/>
    <mergeCell ref="BR14:BS14"/>
    <mergeCell ref="BU14:BV14"/>
    <mergeCell ref="BR15:BS15"/>
    <mergeCell ref="BU15:BV15"/>
    <mergeCell ref="BX13:BY13"/>
    <mergeCell ref="CA13:CB13"/>
    <mergeCell ref="BX14:BY14"/>
    <mergeCell ref="CA14:CB14"/>
    <mergeCell ref="BX15:BY15"/>
    <mergeCell ref="CA15:CB15"/>
    <mergeCell ref="BO16:BP16"/>
    <mergeCell ref="BX16:BY16"/>
    <mergeCell ref="CA16:CB16"/>
    <mergeCell ref="BR16:BS16"/>
    <mergeCell ref="BU16:BV16"/>
    <mergeCell ref="BX17:BY17"/>
    <mergeCell ref="CA17:CB17"/>
    <mergeCell ref="BX18:BY18"/>
    <mergeCell ref="CA18:CB18"/>
    <mergeCell ref="CD11:CE11"/>
    <mergeCell ref="CG11:CH11"/>
    <mergeCell ref="CD12:CE12"/>
    <mergeCell ref="CG12:CH12"/>
    <mergeCell ref="CD13:CE13"/>
    <mergeCell ref="CG13:CH13"/>
    <mergeCell ref="CD14:CE14"/>
    <mergeCell ref="CG14:CH14"/>
    <mergeCell ref="CD15:CE15"/>
    <mergeCell ref="CG15:CH15"/>
    <mergeCell ref="CD16:CE16"/>
    <mergeCell ref="CG16:CH16"/>
    <mergeCell ref="CD17:CE17"/>
    <mergeCell ref="CG17:CH17"/>
    <mergeCell ref="CD18:CE18"/>
    <mergeCell ref="CG18:CH18"/>
    <mergeCell ref="BX11:BY11"/>
    <mergeCell ref="CA11:CB11"/>
    <mergeCell ref="BX12:BY12"/>
    <mergeCell ref="CA12:CB12"/>
    <mergeCell ref="CJ17:CK17"/>
    <mergeCell ref="CM17:CN17"/>
    <mergeCell ref="CJ18:CK18"/>
    <mergeCell ref="CM18:CN18"/>
    <mergeCell ref="CP11:CQ11"/>
    <mergeCell ref="CS11:CT11"/>
    <mergeCell ref="CP12:CQ12"/>
    <mergeCell ref="CS12:CT12"/>
    <mergeCell ref="CP13:CQ13"/>
    <mergeCell ref="CS13:CT13"/>
    <mergeCell ref="CP14:CQ14"/>
    <mergeCell ref="CS14:CT14"/>
    <mergeCell ref="CP15:CQ15"/>
    <mergeCell ref="CS15:CT15"/>
    <mergeCell ref="CP16:CQ16"/>
    <mergeCell ref="CS16:CT16"/>
    <mergeCell ref="CP17:CQ17"/>
    <mergeCell ref="CS17:CT17"/>
    <mergeCell ref="CP18:CQ18"/>
    <mergeCell ref="CS18:CT18"/>
    <mergeCell ref="CJ11:CK11"/>
    <mergeCell ref="CM11:CN11"/>
    <mergeCell ref="CJ12:CK12"/>
    <mergeCell ref="CM12:CN12"/>
    <mergeCell ref="CJ16:CK16"/>
    <mergeCell ref="CM16:CN16"/>
    <mergeCell ref="CJ13:CK13"/>
    <mergeCell ref="CM13:CN13"/>
    <mergeCell ref="CJ14:CK14"/>
    <mergeCell ref="CM14:CN14"/>
    <mergeCell ref="CJ15:CK15"/>
    <mergeCell ref="CM15:CN15"/>
    <mergeCell ref="AT20:AU20"/>
    <mergeCell ref="AW20:AX20"/>
    <mergeCell ref="AT21:AU21"/>
    <mergeCell ref="AW21:AX21"/>
    <mergeCell ref="AT22:AU22"/>
    <mergeCell ref="AW22:AX22"/>
    <mergeCell ref="AT23:AU23"/>
    <mergeCell ref="AW23:AX23"/>
    <mergeCell ref="AT24:AU24"/>
    <mergeCell ref="AW24:AX24"/>
    <mergeCell ref="AZ20:BA20"/>
    <mergeCell ref="BC20:BD20"/>
    <mergeCell ref="AZ21:BA21"/>
    <mergeCell ref="BC21:BD21"/>
    <mergeCell ref="AZ22:BA22"/>
    <mergeCell ref="BC22:BD22"/>
    <mergeCell ref="AZ23:BA23"/>
    <mergeCell ref="BC23:BD23"/>
    <mergeCell ref="AZ24:BA24"/>
    <mergeCell ref="BC24:BD24"/>
    <mergeCell ref="BF20:BG20"/>
    <mergeCell ref="BI20:BJ20"/>
    <mergeCell ref="BF21:BG21"/>
    <mergeCell ref="BI21:BJ21"/>
    <mergeCell ref="BF22:BG22"/>
    <mergeCell ref="BI22:BJ22"/>
    <mergeCell ref="BF23:BG23"/>
    <mergeCell ref="BI23:BJ23"/>
    <mergeCell ref="BF24:BG24"/>
    <mergeCell ref="BI24:BJ24"/>
    <mergeCell ref="BF25:BG25"/>
    <mergeCell ref="BI25:BJ25"/>
    <mergeCell ref="Y22:Z22"/>
    <mergeCell ref="BO30:BP30"/>
    <mergeCell ref="BO28:BP28"/>
    <mergeCell ref="BO29:BP29"/>
    <mergeCell ref="BO31:BP31"/>
    <mergeCell ref="BR28:BS28"/>
    <mergeCell ref="BR29:BS29"/>
    <mergeCell ref="BR30:BS30"/>
    <mergeCell ref="BR31:BS31"/>
    <mergeCell ref="BI26:BJ26"/>
    <mergeCell ref="AT25:AU25"/>
    <mergeCell ref="AW25:AX25"/>
    <mergeCell ref="AZ25:BA25"/>
    <mergeCell ref="BC25:BD25"/>
    <mergeCell ref="AQ25:AR25"/>
    <mergeCell ref="AN28:AO28"/>
    <mergeCell ref="AQ28:AR28"/>
    <mergeCell ref="AN29:AO29"/>
    <mergeCell ref="AQ29:AR29"/>
    <mergeCell ref="AN30:AO30"/>
    <mergeCell ref="AQ30:AR30"/>
    <mergeCell ref="AN31:AO31"/>
    <mergeCell ref="BU28:BV28"/>
    <mergeCell ref="BU29:BV29"/>
    <mergeCell ref="BU30:BV30"/>
    <mergeCell ref="BU31:BV31"/>
    <mergeCell ref="BX28:BY28"/>
    <mergeCell ref="CA28:CB28"/>
    <mergeCell ref="BX29:BY29"/>
    <mergeCell ref="CA29:CB29"/>
    <mergeCell ref="BX30:BY30"/>
    <mergeCell ref="CA30:CB30"/>
    <mergeCell ref="BX31:BY31"/>
    <mergeCell ref="CA31:CB31"/>
    <mergeCell ref="CD28:CE28"/>
    <mergeCell ref="CG28:CH28"/>
    <mergeCell ref="CD29:CE29"/>
    <mergeCell ref="CG29:CH29"/>
    <mergeCell ref="CD30:CE30"/>
    <mergeCell ref="CG30:CH30"/>
    <mergeCell ref="CD31:CE31"/>
    <mergeCell ref="CG31:CH31"/>
    <mergeCell ref="CJ28:CK28"/>
    <mergeCell ref="CM30:CN30"/>
    <mergeCell ref="CJ31:CK31"/>
    <mergeCell ref="CM31:CN31"/>
    <mergeCell ref="CP28:CQ28"/>
    <mergeCell ref="CS28:CT28"/>
    <mergeCell ref="CP29:CQ29"/>
    <mergeCell ref="CS29:CT29"/>
    <mergeCell ref="CP30:CQ30"/>
    <mergeCell ref="CS30:CT30"/>
    <mergeCell ref="CP31:CQ31"/>
    <mergeCell ref="CS31:CT31"/>
    <mergeCell ref="AE35:AF35"/>
    <mergeCell ref="BI35:BJ35"/>
    <mergeCell ref="BF35:BG35"/>
    <mergeCell ref="BC30:BD30"/>
    <mergeCell ref="CM28:CN28"/>
    <mergeCell ref="CJ29:CK29"/>
    <mergeCell ref="CM29:CN29"/>
    <mergeCell ref="CJ30:CK30"/>
    <mergeCell ref="A26:C26"/>
    <mergeCell ref="AK26:AL26"/>
    <mergeCell ref="AN26:AO26"/>
    <mergeCell ref="AQ26:AR26"/>
    <mergeCell ref="AT26:AU26"/>
    <mergeCell ref="AW26:AX26"/>
    <mergeCell ref="AZ26:BA26"/>
    <mergeCell ref="BC26:BD26"/>
    <mergeCell ref="BF26:BG26"/>
  </mergeCells>
  <conditionalFormatting sqref="H9:H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9:E39">
    <cfRule type="expression" dxfId="0" priority="4">
      <formula>$B$40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8" scale="83" orientation="landscape" r:id="rId1"/>
  <ignoredErrors>
    <ignoredError sqref="F19:H19 F27:H27 F34:H34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F9A5B74D621340BAEE935CE26D06A2" ma:contentTypeVersion="16" ma:contentTypeDescription="Crée un document." ma:contentTypeScope="" ma:versionID="6328cc32d451bbd148d12d315c7be42e">
  <xsd:schema xmlns:xsd="http://www.w3.org/2001/XMLSchema" xmlns:xs="http://www.w3.org/2001/XMLSchema" xmlns:p="http://schemas.microsoft.com/office/2006/metadata/properties" xmlns:ns3="16ce2242-de0e-49ba-92ee-ef753a60f7e2" xmlns:ns4="0fd45921-aafa-4799-a628-06e3087808f0" targetNamespace="http://schemas.microsoft.com/office/2006/metadata/properties" ma:root="true" ma:fieldsID="58f22569bf62320d5b1ce9852cce9645" ns3:_="" ns4:_="">
    <xsd:import namespace="16ce2242-de0e-49ba-92ee-ef753a60f7e2"/>
    <xsd:import namespace="0fd45921-aafa-4799-a628-06e3087808f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e2242-de0e-49ba-92ee-ef753a60f7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d45921-aafa-4799-a628-06e3087808f0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6ce2242-de0e-49ba-92ee-ef753a60f7e2" xsi:nil="true"/>
  </documentManagement>
</p:properties>
</file>

<file path=customXml/itemProps1.xml><?xml version="1.0" encoding="utf-8"?>
<ds:datastoreItem xmlns:ds="http://schemas.openxmlformats.org/officeDocument/2006/customXml" ds:itemID="{C3E4209E-2DA6-4083-B0DF-B16FF528DB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ce2242-de0e-49ba-92ee-ef753a60f7e2"/>
    <ds:schemaRef ds:uri="0fd45921-aafa-4799-a628-06e308780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23BD21-6C87-4F50-A25A-38E531846F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50F4CC-DC28-49D6-BCBB-394E717A835D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0fd45921-aafa-4799-a628-06e3087808f0"/>
    <ds:schemaRef ds:uri="http://schemas.microsoft.com/office/2006/documentManagement/types"/>
    <ds:schemaRef ds:uri="16ce2242-de0e-49ba-92ee-ef753a60f7e2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Dina</dc:creator>
  <cp:keywords/>
  <dc:description/>
  <cp:lastModifiedBy>Zuber Dina</cp:lastModifiedBy>
  <cp:revision/>
  <dcterms:created xsi:type="dcterms:W3CDTF">2018-02-05T15:28:24Z</dcterms:created>
  <dcterms:modified xsi:type="dcterms:W3CDTF">2026-09-02T14:45:53Z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0x010100E1F9A5B74D621340BAEE935CE26D06A2</vt:lpwstr>
  </property>
</Properties>
</file>