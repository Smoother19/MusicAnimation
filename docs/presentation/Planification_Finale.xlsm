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HES\Semestre_2\summer school\MusicAnimation\docs\presentation\"/>
    </mc:Choice>
  </mc:AlternateContent>
  <xr:revisionPtr revIDLastSave="0" documentId="8_{347387BB-9A40-464F-95D7-CA1D7EE02A2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nification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1" l="1" a="1"/>
  <c r="G17" i="1" a="1"/>
  <c r="F17" i="1" a="1"/>
  <c r="F29" i="1" a="1"/>
  <c r="G16" i="1" a="1"/>
  <c r="F11" i="1" a="1"/>
  <c r="G28" i="1" a="1"/>
  <c r="G14" i="1" a="1"/>
  <c r="G15" i="1" a="1"/>
  <c r="F15" i="1" a="1"/>
  <c r="G24" i="1" a="1"/>
  <c r="G18" i="1" a="1"/>
  <c r="F23" i="1" a="1"/>
  <c r="G29" i="1" a="1"/>
  <c r="G20" i="1" a="1"/>
  <c r="G27" i="1" a="1"/>
  <c r="F24" i="1" a="1"/>
  <c r="G13" i="1" a="1"/>
  <c r="F30" i="1" a="1"/>
  <c r="G32" i="1" a="1"/>
  <c r="G25" i="1" a="1"/>
  <c r="F22" i="1" a="1"/>
  <c r="G21" i="1" a="1"/>
  <c r="G22" i="1" a="1"/>
  <c r="G23" i="1" a="1"/>
  <c r="F12" i="1" a="1"/>
  <c r="F28" i="1" a="1"/>
  <c r="F14" i="1" a="1"/>
  <c r="F27" i="1" a="1"/>
  <c r="F32" i="1" a="1"/>
  <c r="G12" i="1" a="1"/>
  <c r="F20" i="1" a="1"/>
  <c r="F13" i="1" a="1"/>
  <c r="F21" i="1" a="1"/>
  <c r="G30" i="1" a="1"/>
  <c r="G11" i="1" a="1"/>
  <c r="F18" i="1" a="1"/>
  <c r="F16" i="1" l="1"/>
  <c r="F18" i="1"/>
  <c r="G11" i="1"/>
  <c r="G30" i="1"/>
  <c r="F21" i="1"/>
  <c r="F13" i="1"/>
  <c r="F20" i="1"/>
  <c r="G12" i="1"/>
  <c r="F32" i="1"/>
  <c r="F27" i="1"/>
  <c r="F14" i="1"/>
  <c r="F28" i="1"/>
  <c r="F12" i="1"/>
  <c r="G23" i="1"/>
  <c r="G22" i="1"/>
  <c r="G21" i="1"/>
  <c r="F22" i="1"/>
  <c r="H22" i="1" s="1"/>
  <c r="G25" i="1"/>
  <c r="H25" i="1" s="1"/>
  <c r="G32" i="1"/>
  <c r="F30" i="1"/>
  <c r="G13" i="1"/>
  <c r="F24" i="1"/>
  <c r="G27" i="1"/>
  <c r="G20" i="1"/>
  <c r="G29" i="1"/>
  <c r="F23" i="1"/>
  <c r="G18" i="1"/>
  <c r="G24" i="1"/>
  <c r="F15" i="1"/>
  <c r="G15" i="1"/>
  <c r="G14" i="1"/>
  <c r="G28" i="1"/>
  <c r="F11" i="1"/>
  <c r="G16" i="1"/>
  <c r="F29" i="1"/>
  <c r="F17" i="1"/>
  <c r="G17" i="1"/>
  <c r="H28" i="1" l="1"/>
  <c r="H21" i="1"/>
  <c r="H12" i="1"/>
  <c r="H23" i="1"/>
  <c r="H14" i="1"/>
  <c r="H24" i="1"/>
  <c r="H30" i="1"/>
  <c r="G26" i="1"/>
  <c r="H16" i="1"/>
  <c r="H27" i="1"/>
  <c r="F26" i="1"/>
  <c r="H20" i="1"/>
  <c r="F19" i="1"/>
  <c r="H15" i="1"/>
  <c r="G8" i="1"/>
  <c r="H29" i="1"/>
  <c r="G19" i="1"/>
  <c r="H11" i="1"/>
  <c r="F8" i="1"/>
  <c r="H32" i="1"/>
  <c r="F31" i="1"/>
  <c r="G31" i="1"/>
  <c r="H13" i="1"/>
  <c r="H17" i="1"/>
  <c r="H18" i="1"/>
  <c r="H31" i="1" l="1"/>
  <c r="F33" i="1"/>
  <c r="H8" i="1"/>
  <c r="G33" i="1"/>
  <c r="H19" i="1"/>
  <c r="H26" i="1"/>
  <c r="H33" i="1" l="1"/>
  <c r="B3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<sst xmlns="http://schemas.openxmlformats.org/spreadsheetml/2006/main" count="110" uniqueCount="46">
  <si>
    <t>Planifié</t>
  </si>
  <si>
    <t>Réel</t>
  </si>
  <si>
    <t>Ecart</t>
  </si>
  <si>
    <t>AM</t>
  </si>
  <si>
    <t>PM</t>
  </si>
  <si>
    <t>Temps planifié par jour</t>
  </si>
  <si>
    <t>Temps total planifié (en heure)</t>
  </si>
  <si>
    <t>Planifié+réel</t>
  </si>
  <si>
    <t>1. Prototype</t>
  </si>
  <si>
    <t>Research</t>
  </si>
  <si>
    <t>Create train</t>
  </si>
  <si>
    <t>Create clouds animations</t>
  </si>
  <si>
    <t>Create fireworks animations</t>
  </si>
  <si>
    <t>Create sync animation/music</t>
  </si>
  <si>
    <t>Music file --&gt; Midi</t>
  </si>
  <si>
    <t>Manage Hz ranges from midi</t>
  </si>
  <si>
    <t>Detect notes</t>
  </si>
  <si>
    <t>Planification Summer School - RailBeat</t>
  </si>
  <si>
    <t>Tous</t>
  </si>
  <si>
    <t>Alan</t>
  </si>
  <si>
    <t>Dina</t>
  </si>
  <si>
    <t>Alan, Dina</t>
  </si>
  <si>
    <t>Gabriel</t>
  </si>
  <si>
    <t>Ravaka</t>
  </si>
  <si>
    <t>Gabriel, Ravaka</t>
  </si>
  <si>
    <t>2. Alpha</t>
  </si>
  <si>
    <t>Music analysis</t>
  </si>
  <si>
    <t>Create smoke animation</t>
  </si>
  <si>
    <t>Create birds animation</t>
  </si>
  <si>
    <t>Create rain animation</t>
  </si>
  <si>
    <t>Detect differents instruments</t>
  </si>
  <si>
    <t>4. Presentation</t>
  </si>
  <si>
    <t>Prepare presentation</t>
  </si>
  <si>
    <t>Create different lands</t>
  </si>
  <si>
    <t>Low</t>
  </si>
  <si>
    <t>Medium</t>
  </si>
  <si>
    <t>High</t>
  </si>
  <si>
    <t>3. Final</t>
  </si>
  <si>
    <t>Detection of the volume</t>
  </si>
  <si>
    <t>Create flower/herbs animation</t>
  </si>
  <si>
    <t>Create Day/Night animation</t>
  </si>
  <si>
    <t>Create size based on volume</t>
  </si>
  <si>
    <t>All</t>
  </si>
  <si>
    <t>Assign to</t>
  </si>
  <si>
    <t>Risks</t>
  </si>
  <si>
    <t>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</si>
</sst>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/\ d\ mmmm"/>
  </numFmts>
  <fonts count="13">
    <font>
      <sz val="11"/>
      <color theme="1"/>
      <name val="Calibri"/>
      <family val="2"/>
      <scheme val="minor"/>
    </font>
    <font>
      <b/>
      <u/>
      <sz val="20"/>
      <color theme="1"/>
      <name val="Roboto   "/>
    </font>
    <font>
      <sz val="11"/>
      <color theme="1"/>
      <name val="Roboto   "/>
    </font>
    <font>
      <b/>
      <sz val="20"/>
      <color theme="1"/>
      <name val="Roboto   "/>
    </font>
    <font>
      <b/>
      <sz val="12"/>
      <color theme="0"/>
      <name val="Roboto   "/>
    </font>
    <font>
      <sz val="11"/>
      <color theme="0"/>
      <name val="Roboto   "/>
    </font>
    <font>
      <sz val="11"/>
      <name val="Roboto   "/>
    </font>
    <font>
      <sz val="9"/>
      <color theme="0"/>
      <name val="Roboto   "/>
    </font>
    <font>
      <b/>
      <sz val="14"/>
      <color theme="1"/>
      <name val="Roboto   "/>
    </font>
    <font>
      <b/>
      <sz val="11"/>
      <color theme="1"/>
      <name val="Roboto   "/>
    </font>
    <font>
      <sz val="14"/>
      <color theme="1"/>
      <name val="Roboto   "/>
    </font>
    <font>
      <sz val="11"/>
      <color rgb="FFFF0000"/>
      <name val="Roboto   "/>
    </font>
    <font>
      <sz val="9"/>
      <color rgb="FFFF0000"/>
      <name val="Roboto   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5C7C"/>
        <bgColor indexed="64"/>
      </patternFill>
    </fill>
    <fill>
      <patternFill patternType="solid">
        <fgColor rgb="FF350E89"/>
        <bgColor indexed="64"/>
      </patternFill>
    </fill>
    <fill>
      <patternFill patternType="solid">
        <fgColor rgb="FF006C4F"/>
        <bgColor indexed="64"/>
      </patternFill>
    </fill>
    <fill>
      <patternFill patternType="solid">
        <fgColor rgb="FFA20068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8" xfId="0" applyFont="1" applyBorder="1" applyAlignment="1">
      <alignment horizontal="right" indent="1"/>
    </xf>
    <xf numFmtId="0" fontId="4" fillId="0" borderId="2" xfId="0" applyFont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2" xfId="0" applyFont="1" applyBorder="1" applyAlignment="1">
      <alignment horizontal="left" indent="2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7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2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2" fillId="0" borderId="1" xfId="0" applyFont="1" applyBorder="1" applyAlignment="1">
      <alignment horizontal="left" indent="2"/>
    </xf>
    <xf numFmtId="0" fontId="4" fillId="4" borderId="1" xfId="0" applyFont="1" applyFill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left"/>
    </xf>
    <xf numFmtId="0" fontId="2" fillId="0" borderId="4" xfId="0" applyFont="1" applyBorder="1" applyAlignment="1">
      <alignment horizontal="left" indent="2"/>
    </xf>
    <xf numFmtId="0" fontId="2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left" indent="2"/>
    </xf>
    <xf numFmtId="0" fontId="2" fillId="0" borderId="9" xfId="0" applyFont="1" applyBorder="1" applyAlignment="1">
      <alignment horizontal="left" indent="2"/>
    </xf>
    <xf numFmtId="0" fontId="2" fillId="0" borderId="1" xfId="0" applyFont="1" applyBorder="1" applyAlignment="1">
      <alignment horizontal="left" indent="2"/>
    </xf>
    <xf numFmtId="165" fontId="5" fillId="4" borderId="1" xfId="0" applyNumberFormat="1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1" fillId="8" borderId="2" xfId="0" applyFont="1" applyFill="1" applyBorder="1" applyAlignment="1">
      <alignment horizontal="left" indent="2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2" fillId="0" borderId="28" xfId="0" applyFont="1" applyBorder="1" applyAlignment="1">
      <alignment horizontal="left" indent="2"/>
    </xf>
    <xf numFmtId="0" fontId="2" fillId="0" borderId="4" xfId="0" applyFont="1" applyBorder="1" applyAlignment="1">
      <alignment horizontal="right" indent="1"/>
    </xf>
    <xf numFmtId="0" fontId="2" fillId="0" borderId="24" xfId="0" applyFont="1" applyBorder="1" applyAlignment="1">
      <alignment horizontal="right" indent="1"/>
    </xf>
    <xf numFmtId="0" fontId="4" fillId="4" borderId="9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left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20068"/>
      <color rgb="FF006C4F"/>
      <color rgb="FF350E89"/>
      <color rgb="FF8C2609"/>
      <color rgb="FFA990CD"/>
      <color rgb="FFE98CBF"/>
      <color rgb="FFCF8E84"/>
      <color rgb="FF8CC2E0"/>
      <color rgb="FF82CDB9"/>
      <color rgb="FF50B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DF38"/>
  <sheetViews>
    <sheetView showGridLines="0" tabSelected="1" zoomScaleNormal="100" workbookViewId="0">
      <pane xSplit="3" ySplit="7" topLeftCell="D8" activePane="bottomRight" state="frozen"/>
      <selection pane="topRight" activeCell="D1" sqref="D1"/>
      <selection pane="bottomLeft" activeCell="A6" sqref="A6"/>
      <selection pane="bottomRight" activeCell="V24" sqref="V24"/>
    </sheetView>
  </sheetViews>
  <sheetFormatPr baseColWidth="10" defaultColWidth="3.28515625" defaultRowHeight="14.25"/>
  <cols>
    <col min="1" max="1" width="20.28515625" style="2" customWidth="1"/>
    <col min="2" max="2" width="21.85546875" style="2" customWidth="1"/>
    <col min="3" max="3" width="21.28515625" style="2" customWidth="1"/>
    <col min="4" max="5" width="19.7109375" style="2" customWidth="1"/>
    <col min="6" max="6" width="9.5703125" style="2" bestFit="1" customWidth="1"/>
    <col min="7" max="8" width="9.28515625" style="2" bestFit="1" customWidth="1"/>
    <col min="9" max="9" width="0.5703125" style="2" customWidth="1"/>
    <col min="10" max="11" width="3.28515625" style="2" customWidth="1"/>
    <col min="12" max="12" width="0.28515625" style="2" customWidth="1"/>
    <col min="13" max="14" width="3.28515625" style="2" customWidth="1"/>
    <col min="15" max="15" width="0.5703125" style="2" customWidth="1"/>
    <col min="16" max="17" width="3.28515625" style="2" customWidth="1"/>
    <col min="18" max="18" width="0.28515625" style="2" customWidth="1"/>
    <col min="19" max="20" width="3.28515625" style="2" customWidth="1"/>
    <col min="21" max="21" width="0.5703125" style="2" customWidth="1"/>
    <col min="22" max="23" width="3.28515625" style="2" customWidth="1"/>
    <col min="24" max="24" width="0.28515625" style="2" customWidth="1"/>
    <col min="25" max="26" width="3.28515625" style="2" customWidth="1"/>
    <col min="27" max="27" width="0.5703125" style="2" customWidth="1"/>
    <col min="28" max="29" width="3.28515625" style="2" customWidth="1"/>
    <col min="30" max="30" width="0.28515625" style="2" customWidth="1"/>
    <col min="31" max="32" width="3.28515625" style="2" customWidth="1"/>
    <col min="33" max="33" width="0.5703125" style="2" customWidth="1"/>
    <col min="34" max="35" width="3.28515625" style="2" customWidth="1"/>
    <col min="36" max="36" width="0.28515625" style="2" customWidth="1"/>
    <col min="37" max="38" width="3.28515625" style="2" customWidth="1"/>
    <col min="39" max="39" width="0.5703125" style="2" customWidth="1"/>
    <col min="40" max="41" width="3.28515625" style="2" customWidth="1"/>
    <col min="42" max="42" width="0.28515625" style="2" customWidth="1"/>
    <col min="43" max="44" width="3.28515625" style="2" customWidth="1"/>
    <col min="45" max="45" width="0.5703125" style="2" customWidth="1"/>
    <col min="46" max="47" width="3.28515625" style="2" customWidth="1"/>
    <col min="48" max="48" width="0.28515625" style="2" customWidth="1"/>
    <col min="49" max="50" width="3.28515625" style="2" customWidth="1"/>
    <col min="51" max="51" width="0.5703125" style="2" customWidth="1"/>
    <col min="52" max="53" width="3.28515625" style="2" customWidth="1"/>
    <col min="54" max="54" width="0.28515625" style="2" customWidth="1"/>
    <col min="55" max="56" width="3.28515625" style="2" customWidth="1"/>
    <col min="57" max="57" width="0.5703125" style="2" customWidth="1"/>
    <col min="58" max="59" width="3.28515625" style="2" customWidth="1"/>
    <col min="60" max="60" width="0.28515625" style="2" customWidth="1"/>
    <col min="61" max="62" width="3.28515625" style="2" customWidth="1"/>
    <col min="63" max="63" width="0.5703125" style="2" customWidth="1"/>
    <col min="64" max="65" width="3.28515625" style="2" customWidth="1"/>
    <col min="66" max="66" width="0.28515625" style="2" customWidth="1"/>
    <col min="67" max="68" width="3.28515625" style="2" customWidth="1"/>
    <col min="69" max="69" width="0.5703125" style="2" customWidth="1"/>
    <col min="70" max="71" width="3.28515625" style="2" customWidth="1"/>
    <col min="72" max="72" width="0.28515625" style="2" customWidth="1"/>
    <col min="73" max="74" width="3.28515625" style="2" customWidth="1"/>
    <col min="75" max="75" width="0.5703125" style="2" customWidth="1"/>
    <col min="76" max="77" width="3.28515625" style="2" customWidth="1"/>
    <col min="78" max="78" width="0.28515625" style="2" customWidth="1"/>
    <col min="79" max="80" width="3.28515625" style="2" customWidth="1"/>
    <col min="81" max="81" width="0.5703125" style="2" customWidth="1"/>
    <col min="82" max="83" width="3.28515625" style="2" customWidth="1"/>
    <col min="84" max="84" width="0.28515625" style="2" customWidth="1"/>
    <col min="85" max="86" width="3.28515625" style="2" customWidth="1"/>
    <col min="87" max="87" width="0.5703125" style="2" customWidth="1"/>
    <col min="88" max="88" width="3.85546875" style="2" customWidth="1"/>
    <col min="89" max="89" width="4.28515625" style="2" customWidth="1"/>
    <col min="90" max="90" width="0.28515625" style="2" customWidth="1"/>
    <col min="91" max="91" width="4.140625" style="2" customWidth="1"/>
    <col min="92" max="92" width="5" style="2" customWidth="1"/>
    <col min="93" max="93" width="0.5703125" style="2" hidden="1" customWidth="1"/>
    <col min="94" max="94" width="5.140625" style="2" customWidth="1"/>
    <col min="95" max="95" width="4" style="2" customWidth="1"/>
    <col min="96" max="96" width="0.28515625" style="2" customWidth="1"/>
    <col min="97" max="97" width="3.7109375" style="2" customWidth="1"/>
    <col min="98" max="98" width="4.42578125" style="2" customWidth="1"/>
    <col min="99" max="99" width="0.5703125" style="2" customWidth="1"/>
    <col min="100" max="101" width="4.5703125" style="2" customWidth="1"/>
    <col min="102" max="102" width="0.28515625" style="2" customWidth="1"/>
    <col min="103" max="104" width="4.28515625" style="2" customWidth="1"/>
    <col min="105" max="105" width="0.5703125" style="2" customWidth="1"/>
    <col min="106" max="107" width="4.140625" style="2" customWidth="1"/>
    <col min="108" max="108" width="0.28515625" style="2" customWidth="1"/>
    <col min="109" max="110" width="4.85546875" style="2" customWidth="1"/>
    <col min="111" max="16384" width="3.28515625" style="2"/>
  </cols>
  <sheetData>
    <row r="1" spans="1:110" ht="26.25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110" ht="26.25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3"/>
      <c r="S2" s="3"/>
      <c r="T2" s="3"/>
    </row>
    <row r="6" spans="1:110" ht="15.75">
      <c r="A6" s="67" t="s">
        <v>45</v>
      </c>
      <c r="B6" s="67"/>
      <c r="C6" s="102"/>
      <c r="D6" s="15" t="s">
        <v>43</v>
      </c>
      <c r="E6" s="17" t="s">
        <v>44</v>
      </c>
      <c r="F6" s="5"/>
      <c r="G6" s="5"/>
      <c r="H6" s="6"/>
      <c r="I6" s="7"/>
      <c r="J6" s="73">
        <v>46251</v>
      </c>
      <c r="K6" s="73"/>
      <c r="L6" s="73"/>
      <c r="M6" s="73"/>
      <c r="N6" s="73"/>
      <c r="P6" s="73">
        <v>46252</v>
      </c>
      <c r="Q6" s="73"/>
      <c r="R6" s="73"/>
      <c r="S6" s="73"/>
      <c r="T6" s="73"/>
      <c r="V6" s="73">
        <v>46253</v>
      </c>
      <c r="W6" s="73"/>
      <c r="X6" s="73"/>
      <c r="Y6" s="73"/>
      <c r="Z6" s="73"/>
      <c r="AB6" s="73">
        <v>46254</v>
      </c>
      <c r="AC6" s="73"/>
      <c r="AD6" s="73"/>
      <c r="AE6" s="73"/>
      <c r="AF6" s="73"/>
      <c r="AH6" s="73">
        <v>46255</v>
      </c>
      <c r="AI6" s="73"/>
      <c r="AJ6" s="73"/>
      <c r="AK6" s="73"/>
      <c r="AL6" s="73"/>
      <c r="AN6" s="73">
        <v>46258</v>
      </c>
      <c r="AO6" s="73"/>
      <c r="AP6" s="73"/>
      <c r="AQ6" s="73"/>
      <c r="AR6" s="73"/>
      <c r="AT6" s="73">
        <v>46259</v>
      </c>
      <c r="AU6" s="73"/>
      <c r="AV6" s="73"/>
      <c r="AW6" s="73"/>
      <c r="AX6" s="73"/>
      <c r="AZ6" s="73">
        <v>46260</v>
      </c>
      <c r="BA6" s="73"/>
      <c r="BB6" s="73"/>
      <c r="BC6" s="73"/>
      <c r="BD6" s="73"/>
      <c r="BF6" s="73">
        <v>46261</v>
      </c>
      <c r="BG6" s="73"/>
      <c r="BH6" s="73"/>
      <c r="BI6" s="73"/>
      <c r="BJ6" s="73"/>
      <c r="BL6" s="73">
        <v>46262</v>
      </c>
      <c r="BM6" s="73"/>
      <c r="BN6" s="73"/>
      <c r="BO6" s="73"/>
      <c r="BP6" s="73"/>
      <c r="BR6" s="73">
        <v>46263</v>
      </c>
      <c r="BS6" s="73"/>
      <c r="BT6" s="73"/>
      <c r="BU6" s="73"/>
      <c r="BV6" s="73"/>
      <c r="BX6" s="73">
        <v>46264</v>
      </c>
      <c r="BY6" s="73"/>
      <c r="BZ6" s="73"/>
      <c r="CA6" s="73"/>
      <c r="CB6" s="73"/>
      <c r="CD6" s="73">
        <v>46265</v>
      </c>
      <c r="CE6" s="73"/>
      <c r="CF6" s="73"/>
      <c r="CG6" s="73"/>
      <c r="CH6" s="73"/>
      <c r="CJ6" s="73">
        <v>46266</v>
      </c>
      <c r="CK6" s="73"/>
      <c r="CL6" s="73"/>
      <c r="CM6" s="73"/>
      <c r="CN6" s="73"/>
      <c r="CP6" s="73">
        <v>46267</v>
      </c>
      <c r="CQ6" s="73"/>
      <c r="CR6" s="73"/>
      <c r="CS6" s="73"/>
      <c r="CT6" s="73"/>
      <c r="CV6" s="73">
        <v>46268</v>
      </c>
      <c r="CW6" s="73"/>
      <c r="CX6" s="73"/>
      <c r="CY6" s="73"/>
      <c r="CZ6" s="73"/>
      <c r="DB6" s="73">
        <v>46269</v>
      </c>
      <c r="DC6" s="73"/>
      <c r="DD6" s="73"/>
      <c r="DE6" s="73"/>
      <c r="DF6" s="73"/>
    </row>
    <row r="7" spans="1:110" s="8" customFormat="1">
      <c r="C7" s="9"/>
      <c r="D7" s="104"/>
      <c r="E7" s="105"/>
      <c r="F7" s="8" t="s">
        <v>0</v>
      </c>
      <c r="G7" s="8" t="s">
        <v>1</v>
      </c>
      <c r="H7" s="8" t="s">
        <v>2</v>
      </c>
      <c r="I7" s="10"/>
      <c r="J7" s="60" t="s">
        <v>3</v>
      </c>
      <c r="K7" s="61"/>
      <c r="L7" s="26"/>
      <c r="M7" s="60" t="s">
        <v>4</v>
      </c>
      <c r="N7" s="61"/>
      <c r="P7" s="60" t="s">
        <v>3</v>
      </c>
      <c r="Q7" s="61"/>
      <c r="R7" s="26"/>
      <c r="S7" s="60" t="s">
        <v>4</v>
      </c>
      <c r="T7" s="61"/>
      <c r="V7" s="60" t="s">
        <v>3</v>
      </c>
      <c r="W7" s="61"/>
      <c r="X7" s="26"/>
      <c r="Y7" s="60" t="s">
        <v>4</v>
      </c>
      <c r="Z7" s="61"/>
      <c r="AB7" s="60" t="s">
        <v>3</v>
      </c>
      <c r="AC7" s="61"/>
      <c r="AD7" s="26"/>
      <c r="AE7" s="60" t="s">
        <v>4</v>
      </c>
      <c r="AF7" s="61"/>
      <c r="AH7" s="60" t="s">
        <v>3</v>
      </c>
      <c r="AI7" s="61"/>
      <c r="AJ7" s="26"/>
      <c r="AK7" s="60" t="s">
        <v>4</v>
      </c>
      <c r="AL7" s="61"/>
      <c r="AN7" s="60" t="s">
        <v>3</v>
      </c>
      <c r="AO7" s="61"/>
      <c r="AP7" s="26"/>
      <c r="AQ7" s="60" t="s">
        <v>4</v>
      </c>
      <c r="AR7" s="61"/>
      <c r="AT7" s="60" t="s">
        <v>3</v>
      </c>
      <c r="AU7" s="61"/>
      <c r="AV7" s="26"/>
      <c r="AW7" s="60" t="s">
        <v>4</v>
      </c>
      <c r="AX7" s="61"/>
      <c r="AZ7" s="60" t="s">
        <v>3</v>
      </c>
      <c r="BA7" s="61"/>
      <c r="BB7" s="26"/>
      <c r="BC7" s="60" t="s">
        <v>4</v>
      </c>
      <c r="BD7" s="61"/>
      <c r="BF7" s="60" t="s">
        <v>3</v>
      </c>
      <c r="BG7" s="61"/>
      <c r="BH7" s="26"/>
      <c r="BI7" s="60" t="s">
        <v>4</v>
      </c>
      <c r="BJ7" s="61"/>
      <c r="BL7" s="60" t="s">
        <v>3</v>
      </c>
      <c r="BM7" s="61"/>
      <c r="BN7" s="26"/>
      <c r="BO7" s="60" t="s">
        <v>4</v>
      </c>
      <c r="BP7" s="61"/>
      <c r="BR7" s="60" t="s">
        <v>3</v>
      </c>
      <c r="BS7" s="61"/>
      <c r="BT7" s="26"/>
      <c r="BU7" s="60" t="s">
        <v>4</v>
      </c>
      <c r="BV7" s="61"/>
      <c r="BX7" s="60" t="s">
        <v>3</v>
      </c>
      <c r="BY7" s="61"/>
      <c r="BZ7" s="26"/>
      <c r="CA7" s="60" t="s">
        <v>4</v>
      </c>
      <c r="CB7" s="61"/>
      <c r="CD7" s="60" t="s">
        <v>3</v>
      </c>
      <c r="CE7" s="61"/>
      <c r="CF7" s="26"/>
      <c r="CG7" s="60" t="s">
        <v>4</v>
      </c>
      <c r="CH7" s="61"/>
      <c r="CJ7" s="60" t="s">
        <v>3</v>
      </c>
      <c r="CK7" s="61"/>
      <c r="CL7" s="26"/>
      <c r="CM7" s="60" t="s">
        <v>4</v>
      </c>
      <c r="CN7" s="61"/>
      <c r="CP7" s="60" t="s">
        <v>3</v>
      </c>
      <c r="CQ7" s="61"/>
      <c r="CR7" s="26"/>
      <c r="CS7" s="60" t="s">
        <v>4</v>
      </c>
      <c r="CT7" s="61"/>
      <c r="CV7" s="60" t="s">
        <v>3</v>
      </c>
      <c r="CW7" s="61"/>
      <c r="CX7" s="26"/>
      <c r="CY7" s="60" t="s">
        <v>4</v>
      </c>
      <c r="CZ7" s="61"/>
      <c r="DB7" s="60" t="s">
        <v>3</v>
      </c>
      <c r="DC7" s="61"/>
      <c r="DD7" s="26"/>
      <c r="DE7" s="60" t="s">
        <v>4</v>
      </c>
      <c r="DF7" s="61"/>
    </row>
    <row r="8" spans="1:110" s="8" customFormat="1" ht="15.75">
      <c r="A8" s="67" t="s">
        <v>8</v>
      </c>
      <c r="B8" s="67"/>
      <c r="C8" s="102"/>
      <c r="D8" s="15" t="s">
        <v>42</v>
      </c>
      <c r="E8" s="107"/>
      <c r="F8" s="5">
        <f>SUM(F11:F18)</f>
        <v>46</v>
      </c>
      <c r="G8" s="5">
        <f>SUM(G11:G18)</f>
        <v>36</v>
      </c>
      <c r="H8" s="6">
        <f>SUM(H11:H18)</f>
        <v>10</v>
      </c>
      <c r="I8" s="11"/>
      <c r="J8" s="12"/>
      <c r="K8" s="13"/>
      <c r="L8" s="13"/>
      <c r="M8" s="13"/>
      <c r="N8" s="14"/>
      <c r="P8" s="12"/>
      <c r="Q8" s="13"/>
      <c r="R8" s="13"/>
      <c r="S8" s="13"/>
      <c r="T8" s="14"/>
      <c r="V8" s="12"/>
      <c r="W8" s="13"/>
      <c r="X8" s="13"/>
      <c r="Y8" s="13"/>
      <c r="Z8" s="14"/>
      <c r="AB8" s="12"/>
      <c r="AC8" s="13"/>
      <c r="AD8" s="13"/>
      <c r="AE8" s="13"/>
      <c r="AF8" s="14"/>
      <c r="AH8" s="12"/>
      <c r="AI8" s="13"/>
      <c r="AJ8" s="13"/>
      <c r="AK8" s="13"/>
      <c r="AL8" s="14"/>
      <c r="AN8" s="12"/>
      <c r="AO8" s="13"/>
      <c r="AP8" s="13"/>
      <c r="AQ8" s="13"/>
      <c r="AR8" s="14"/>
      <c r="AT8" s="12"/>
      <c r="AU8" s="13"/>
      <c r="AV8" s="13"/>
      <c r="AW8" s="13"/>
      <c r="AX8" s="14"/>
      <c r="AZ8" s="12"/>
      <c r="BA8" s="13"/>
      <c r="BB8" s="13"/>
      <c r="BC8" s="13"/>
      <c r="BD8" s="14"/>
      <c r="BF8" s="12"/>
      <c r="BG8" s="13"/>
      <c r="BH8" s="13"/>
      <c r="BI8" s="13"/>
      <c r="BJ8" s="14"/>
      <c r="BL8" s="12"/>
      <c r="BM8" s="13"/>
      <c r="BN8" s="13"/>
      <c r="BO8" s="13"/>
      <c r="BP8" s="14"/>
      <c r="BR8" s="12"/>
      <c r="BS8" s="13"/>
      <c r="BT8" s="13"/>
      <c r="BU8" s="13"/>
      <c r="BV8" s="14"/>
      <c r="BX8" s="12"/>
      <c r="BY8" s="13"/>
      <c r="BZ8" s="13"/>
      <c r="CA8" s="13"/>
      <c r="CB8" s="14"/>
      <c r="CD8" s="12"/>
      <c r="CE8" s="13"/>
      <c r="CF8" s="13"/>
      <c r="CG8" s="13"/>
      <c r="CH8" s="14"/>
      <c r="CJ8" s="12"/>
      <c r="CK8" s="13"/>
      <c r="CL8" s="13"/>
      <c r="CM8" s="13"/>
      <c r="CN8" s="14"/>
      <c r="CP8" s="12"/>
      <c r="CQ8" s="13"/>
      <c r="CR8" s="13"/>
      <c r="CS8" s="13"/>
      <c r="CT8" s="14"/>
      <c r="CV8" s="12"/>
      <c r="CW8" s="13"/>
      <c r="CX8" s="13"/>
      <c r="CY8" s="13"/>
      <c r="CZ8" s="14"/>
      <c r="DB8" s="12"/>
      <c r="DC8" s="13"/>
      <c r="DD8" s="13"/>
      <c r="DE8" s="13"/>
      <c r="DF8" s="14"/>
    </row>
    <row r="9" spans="1:110" s="8" customFormat="1" ht="15.75" hidden="1">
      <c r="A9" s="15"/>
      <c r="B9" s="16"/>
      <c r="C9" s="16"/>
      <c r="D9" s="59"/>
      <c r="E9" s="106"/>
      <c r="F9" s="18"/>
      <c r="G9" s="18"/>
      <c r="H9" s="18">
        <v>10</v>
      </c>
      <c r="I9" s="11"/>
      <c r="J9" s="19"/>
      <c r="K9" s="20"/>
      <c r="L9" s="20"/>
      <c r="M9" s="20"/>
      <c r="N9" s="21"/>
      <c r="P9" s="19"/>
      <c r="Q9" s="20"/>
      <c r="R9" s="20"/>
      <c r="S9" s="20"/>
      <c r="T9" s="21"/>
      <c r="V9" s="19"/>
      <c r="W9" s="20"/>
      <c r="X9" s="20"/>
      <c r="Y9" s="20"/>
      <c r="Z9" s="21"/>
      <c r="AB9" s="19"/>
      <c r="AC9" s="20"/>
      <c r="AD9" s="20"/>
      <c r="AE9" s="20"/>
      <c r="AF9" s="21"/>
      <c r="AH9" s="19"/>
      <c r="AI9" s="20"/>
      <c r="AJ9" s="20"/>
      <c r="AK9" s="20"/>
      <c r="AL9" s="21"/>
      <c r="AN9" s="19"/>
      <c r="AO9" s="20"/>
      <c r="AP9" s="20"/>
      <c r="AQ9" s="20"/>
      <c r="AR9" s="21"/>
      <c r="AT9" s="19"/>
      <c r="AU9" s="20"/>
      <c r="AV9" s="20"/>
      <c r="AW9" s="20"/>
      <c r="AX9" s="21"/>
      <c r="AZ9" s="19"/>
      <c r="BA9" s="20"/>
      <c r="BB9" s="20"/>
      <c r="BC9" s="20"/>
      <c r="BD9" s="21"/>
      <c r="BF9" s="19"/>
      <c r="BG9" s="20"/>
      <c r="BH9" s="20"/>
      <c r="BI9" s="20"/>
      <c r="BJ9" s="21"/>
      <c r="BL9" s="19"/>
      <c r="BM9" s="20"/>
      <c r="BN9" s="20"/>
      <c r="BO9" s="20"/>
      <c r="BP9" s="21"/>
      <c r="BR9" s="19"/>
      <c r="BS9" s="20"/>
      <c r="BT9" s="20"/>
      <c r="BU9" s="20"/>
      <c r="BV9" s="21"/>
      <c r="BX9" s="19"/>
      <c r="BY9" s="20"/>
      <c r="BZ9" s="20"/>
      <c r="CA9" s="20"/>
      <c r="CB9" s="21"/>
      <c r="CD9" s="19"/>
      <c r="CE9" s="20"/>
      <c r="CF9" s="20"/>
      <c r="CG9" s="20"/>
      <c r="CH9" s="21"/>
      <c r="CJ9" s="19"/>
      <c r="CK9" s="20"/>
      <c r="CL9" s="20"/>
      <c r="CM9" s="20"/>
      <c r="CN9" s="21"/>
      <c r="CP9" s="19"/>
      <c r="CQ9" s="20"/>
      <c r="CR9" s="20"/>
      <c r="CS9" s="20"/>
      <c r="CT9" s="21"/>
      <c r="CV9" s="19"/>
      <c r="CW9" s="20"/>
      <c r="CX9" s="20"/>
      <c r="CY9" s="20"/>
      <c r="CZ9" s="21"/>
      <c r="DB9" s="19"/>
      <c r="DC9" s="20"/>
      <c r="DD9" s="20"/>
      <c r="DE9" s="20"/>
      <c r="DF9" s="21"/>
    </row>
    <row r="10" spans="1:110" s="8" customFormat="1" ht="15.75" hidden="1">
      <c r="A10" s="15"/>
      <c r="B10" s="16"/>
      <c r="C10" s="16"/>
      <c r="D10" s="59"/>
      <c r="E10" s="59"/>
      <c r="F10" s="18"/>
      <c r="G10" s="18"/>
      <c r="H10" s="18">
        <v>-10</v>
      </c>
      <c r="I10" s="11"/>
      <c r="J10" s="19"/>
      <c r="K10" s="20"/>
      <c r="L10" s="20"/>
      <c r="M10" s="20"/>
      <c r="N10" s="21"/>
      <c r="P10" s="19"/>
      <c r="Q10" s="20"/>
      <c r="R10" s="20"/>
      <c r="S10" s="20"/>
      <c r="T10" s="21"/>
      <c r="V10" s="19"/>
      <c r="W10" s="20"/>
      <c r="X10" s="20"/>
      <c r="Y10" s="20"/>
      <c r="Z10" s="21"/>
      <c r="AB10" s="19"/>
      <c r="AC10" s="20"/>
      <c r="AD10" s="20"/>
      <c r="AE10" s="20"/>
      <c r="AF10" s="21"/>
      <c r="AH10" s="19"/>
      <c r="AI10" s="20"/>
      <c r="AJ10" s="20"/>
      <c r="AK10" s="20"/>
      <c r="AL10" s="21"/>
      <c r="AN10" s="19"/>
      <c r="AO10" s="20"/>
      <c r="AP10" s="20"/>
      <c r="AQ10" s="20"/>
      <c r="AR10" s="21"/>
      <c r="AT10" s="19"/>
      <c r="AU10" s="20"/>
      <c r="AV10" s="20"/>
      <c r="AW10" s="20"/>
      <c r="AX10" s="21"/>
      <c r="AZ10" s="19"/>
      <c r="BA10" s="20"/>
      <c r="BB10" s="20"/>
      <c r="BC10" s="20"/>
      <c r="BD10" s="21"/>
      <c r="BF10" s="19"/>
      <c r="BG10" s="20"/>
      <c r="BH10" s="20"/>
      <c r="BI10" s="20"/>
      <c r="BJ10" s="21"/>
      <c r="BL10" s="19"/>
      <c r="BM10" s="20"/>
      <c r="BN10" s="20"/>
      <c r="BO10" s="20"/>
      <c r="BP10" s="21"/>
      <c r="BR10" s="19"/>
      <c r="BS10" s="20"/>
      <c r="BT10" s="20"/>
      <c r="BU10" s="20"/>
      <c r="BV10" s="21"/>
      <c r="BX10" s="19"/>
      <c r="BY10" s="20"/>
      <c r="BZ10" s="20"/>
      <c r="CA10" s="20"/>
      <c r="CB10" s="21"/>
      <c r="CD10" s="19"/>
      <c r="CE10" s="20"/>
      <c r="CF10" s="20"/>
      <c r="CG10" s="20"/>
      <c r="CH10" s="21"/>
      <c r="CJ10" s="19"/>
      <c r="CK10" s="20"/>
      <c r="CL10" s="20"/>
      <c r="CM10" s="20"/>
      <c r="CN10" s="21"/>
      <c r="CP10" s="19"/>
      <c r="CQ10" s="20"/>
      <c r="CR10" s="20"/>
      <c r="CS10" s="20"/>
      <c r="CT10" s="21"/>
      <c r="CV10" s="19"/>
      <c r="CW10" s="20"/>
      <c r="CX10" s="20"/>
      <c r="CY10" s="20"/>
      <c r="CZ10" s="21"/>
      <c r="DB10" s="19"/>
      <c r="DC10" s="20"/>
      <c r="DD10" s="20"/>
      <c r="DE10" s="20"/>
      <c r="DF10" s="21"/>
    </row>
    <row r="11" spans="1:110" s="32" customFormat="1">
      <c r="A11" s="68" t="s">
        <v>9</v>
      </c>
      <c r="B11" s="69"/>
      <c r="C11" s="70"/>
      <c r="D11" s="99" t="s">
        <v>18</v>
      </c>
      <c r="E11" s="99"/>
      <c r="F11" s="22" cm="1">
        <f t="array" ref="F11">SommeSiCouleurPlage($J11:$DF11,getCouleur($G$36))+SommeSiCouleurPlage($J11:$DF11,getCouleur($P$36))</f>
        <v>2</v>
      </c>
      <c r="G11" s="22" cm="1">
        <f t="array" ref="G11">SommeSiCouleurPlage($J11:$DF11,getCouleur($J$36))+SommeSiCouleurPlage($J11:$DF11,getCouleur($P$36))</f>
        <v>2</v>
      </c>
      <c r="H11" s="22">
        <f>F11-G11</f>
        <v>0</v>
      </c>
      <c r="I11" s="23"/>
      <c r="J11" s="49"/>
      <c r="K11" s="50"/>
      <c r="L11" s="52"/>
      <c r="M11" s="54">
        <v>2</v>
      </c>
      <c r="N11" s="30"/>
      <c r="O11" s="29"/>
      <c r="P11" s="24"/>
      <c r="Q11" s="30"/>
      <c r="R11" s="47"/>
      <c r="S11" s="24"/>
      <c r="T11" s="30"/>
      <c r="U11" s="29"/>
      <c r="V11" s="24"/>
      <c r="W11" s="30"/>
      <c r="X11" s="26"/>
      <c r="Y11" s="25"/>
      <c r="Z11" s="30"/>
      <c r="AA11" s="29"/>
      <c r="AB11" s="24"/>
      <c r="AC11" s="30"/>
      <c r="AD11" s="26"/>
      <c r="AE11" s="25"/>
      <c r="AF11" s="30"/>
      <c r="AG11" s="29"/>
      <c r="AH11" s="24"/>
      <c r="AI11" s="25"/>
      <c r="AJ11" s="26"/>
      <c r="AK11" s="25"/>
      <c r="AL11" s="30"/>
      <c r="AM11" s="29"/>
      <c r="AN11" s="24"/>
      <c r="AO11" s="25"/>
      <c r="AP11" s="26"/>
      <c r="AQ11" s="25"/>
      <c r="AR11" s="30"/>
      <c r="AS11" s="29"/>
      <c r="AT11" s="24"/>
      <c r="AU11" s="25"/>
      <c r="AV11" s="26"/>
      <c r="AW11" s="25"/>
      <c r="AX11" s="30"/>
      <c r="AY11" s="29"/>
      <c r="AZ11" s="24"/>
      <c r="BA11" s="25"/>
      <c r="BB11" s="26"/>
      <c r="BC11" s="25"/>
      <c r="BD11" s="30"/>
      <c r="BE11" s="29"/>
      <c r="BF11" s="24"/>
      <c r="BG11" s="25"/>
      <c r="BH11" s="26"/>
      <c r="BI11" s="25"/>
      <c r="BJ11" s="30"/>
      <c r="BK11" s="29"/>
      <c r="BL11" s="24"/>
      <c r="BM11" s="25"/>
      <c r="BN11" s="26"/>
      <c r="BO11" s="25"/>
      <c r="BP11" s="30"/>
      <c r="BQ11" s="31"/>
      <c r="BR11" s="24"/>
      <c r="BS11" s="25"/>
      <c r="BT11" s="26"/>
      <c r="BU11" s="25"/>
      <c r="BV11" s="30"/>
      <c r="BW11" s="31"/>
      <c r="BX11" s="24"/>
      <c r="BY11" s="25"/>
      <c r="BZ11" s="26"/>
      <c r="CA11" s="25"/>
      <c r="CB11" s="30"/>
      <c r="CC11" s="31"/>
      <c r="CD11" s="24"/>
      <c r="CE11" s="25"/>
      <c r="CF11" s="26"/>
      <c r="CG11" s="25"/>
      <c r="CH11" s="30"/>
      <c r="CI11" s="29"/>
      <c r="CJ11" s="24"/>
      <c r="CK11" s="25"/>
      <c r="CL11" s="26"/>
      <c r="CM11" s="25"/>
      <c r="CN11" s="30"/>
      <c r="CO11" s="31"/>
      <c r="CP11" s="24"/>
      <c r="CQ11" s="25"/>
      <c r="CR11" s="26"/>
      <c r="CS11" s="25"/>
      <c r="CT11" s="30"/>
      <c r="CU11" s="31"/>
      <c r="CV11" s="24"/>
      <c r="CW11" s="25"/>
      <c r="CX11" s="26"/>
      <c r="CY11" s="25"/>
      <c r="CZ11" s="30"/>
      <c r="DA11" s="31"/>
      <c r="DB11" s="24"/>
      <c r="DC11" s="25"/>
      <c r="DD11" s="26"/>
      <c r="DE11" s="25"/>
      <c r="DF11" s="30"/>
    </row>
    <row r="12" spans="1:110" s="32" customFormat="1" ht="15" customHeight="1">
      <c r="A12" s="68" t="s">
        <v>10</v>
      </c>
      <c r="B12" s="69"/>
      <c r="C12" s="70"/>
      <c r="D12" s="100" t="s">
        <v>19</v>
      </c>
      <c r="E12" s="100" t="s">
        <v>34</v>
      </c>
      <c r="F12" s="33" cm="1">
        <f t="array" ref="F12">SommeSiCouleurPlage($J12:$DF12,getCouleur($G$36))+SommeSiCouleurPlage($J12:$DF12,getCouleur($P$36))</f>
        <v>14</v>
      </c>
      <c r="G12" s="33" cm="1">
        <f t="array" ref="G12">SommeSiCouleurPlage($J12:$DF12,getCouleur($J$36))+SommeSiCouleurPlage($J12:$DF12,getCouleur($P$36))</f>
        <v>14</v>
      </c>
      <c r="H12" s="33">
        <f t="shared" ref="H12:H32" si="0">F12-G12</f>
        <v>0</v>
      </c>
      <c r="I12" s="23"/>
      <c r="J12" s="34"/>
      <c r="K12" s="29"/>
      <c r="L12" s="26"/>
      <c r="M12" s="34"/>
      <c r="N12" s="54">
        <v>2</v>
      </c>
      <c r="O12" s="29"/>
      <c r="P12" s="54">
        <v>2</v>
      </c>
      <c r="Q12" s="95">
        <v>2</v>
      </c>
      <c r="R12" s="91"/>
      <c r="S12" s="94">
        <v>2</v>
      </c>
      <c r="T12" s="95">
        <v>2</v>
      </c>
      <c r="U12" s="91"/>
      <c r="V12" s="54">
        <v>2</v>
      </c>
      <c r="W12" s="95">
        <v>2</v>
      </c>
      <c r="X12" s="91"/>
      <c r="Y12" s="85"/>
      <c r="Z12" s="88"/>
      <c r="AA12" s="88"/>
      <c r="AB12" s="85"/>
      <c r="AC12" s="86"/>
      <c r="AD12" s="87"/>
      <c r="AE12" s="86"/>
      <c r="AF12" s="88"/>
      <c r="AG12" s="29"/>
      <c r="AH12" s="34"/>
      <c r="AI12" s="29"/>
      <c r="AJ12" s="26"/>
      <c r="AK12" s="29"/>
      <c r="AL12" s="35"/>
      <c r="AM12" s="29"/>
      <c r="AN12" s="34"/>
      <c r="AO12" s="29"/>
      <c r="AP12" s="26"/>
      <c r="AQ12" s="29"/>
      <c r="AR12" s="35"/>
      <c r="AS12" s="29"/>
      <c r="AT12" s="34"/>
      <c r="AU12" s="29"/>
      <c r="AV12" s="26"/>
      <c r="AW12" s="29"/>
      <c r="AX12" s="35"/>
      <c r="AY12" s="29"/>
      <c r="AZ12" s="34"/>
      <c r="BA12" s="29"/>
      <c r="BB12" s="26"/>
      <c r="BC12" s="29"/>
      <c r="BD12" s="35"/>
      <c r="BE12" s="29"/>
      <c r="BF12" s="34"/>
      <c r="BG12" s="29"/>
      <c r="BH12" s="26"/>
      <c r="BI12" s="29"/>
      <c r="BJ12" s="35"/>
      <c r="BK12" s="29"/>
      <c r="BL12" s="34"/>
      <c r="BM12" s="29"/>
      <c r="BN12" s="26"/>
      <c r="BO12" s="29"/>
      <c r="BP12" s="35"/>
      <c r="BQ12" s="31"/>
      <c r="BR12" s="34"/>
      <c r="BS12" s="29"/>
      <c r="BT12" s="26"/>
      <c r="BU12" s="29"/>
      <c r="BV12" s="35"/>
      <c r="BW12" s="31"/>
      <c r="BX12" s="34"/>
      <c r="BY12" s="29"/>
      <c r="BZ12" s="26"/>
      <c r="CA12" s="29"/>
      <c r="CB12" s="35"/>
      <c r="CC12" s="31"/>
      <c r="CD12" s="34"/>
      <c r="CE12" s="29"/>
      <c r="CF12" s="26"/>
      <c r="CG12" s="29"/>
      <c r="CH12" s="35"/>
      <c r="CI12" s="29"/>
      <c r="CJ12" s="34"/>
      <c r="CK12" s="29"/>
      <c r="CL12" s="26"/>
      <c r="CM12" s="29"/>
      <c r="CN12" s="35"/>
      <c r="CO12" s="31"/>
      <c r="CP12" s="34"/>
      <c r="CQ12" s="29"/>
      <c r="CR12" s="26"/>
      <c r="CS12" s="29"/>
      <c r="CT12" s="35"/>
      <c r="CU12" s="31"/>
      <c r="CV12" s="34"/>
      <c r="CW12" s="29"/>
      <c r="CX12" s="26"/>
      <c r="CY12" s="29"/>
      <c r="CZ12" s="35"/>
      <c r="DA12" s="31"/>
      <c r="DB12" s="34"/>
      <c r="DC12" s="29"/>
      <c r="DD12" s="26"/>
      <c r="DE12" s="29"/>
      <c r="DF12" s="35"/>
    </row>
    <row r="13" spans="1:110" s="32" customFormat="1">
      <c r="A13" s="68" t="s">
        <v>11</v>
      </c>
      <c r="B13" s="69"/>
      <c r="C13" s="70"/>
      <c r="D13" s="99" t="s">
        <v>20</v>
      </c>
      <c r="E13" s="99" t="s">
        <v>34</v>
      </c>
      <c r="F13" s="22" cm="1">
        <f t="array" ref="F13">SommeSiCouleurPlage($J13:$DF13,getCouleur($G$36))+SommeSiCouleurPlage($J13:$DF13,getCouleur($P$36))</f>
        <v>14</v>
      </c>
      <c r="G13" s="22" cm="1">
        <f t="array" ref="G13">SommeSiCouleurPlage($J13:$DF13,getCouleur($J$36))+SommeSiCouleurPlage($J13:$DF13,getCouleur($P$36))</f>
        <v>10</v>
      </c>
      <c r="H13" s="22">
        <f t="shared" si="0"/>
        <v>4</v>
      </c>
      <c r="I13" s="23"/>
      <c r="J13" s="24"/>
      <c r="K13" s="25"/>
      <c r="L13" s="26"/>
      <c r="M13" s="25"/>
      <c r="N13" s="54">
        <v>2</v>
      </c>
      <c r="O13" s="29"/>
      <c r="P13" s="54">
        <v>2</v>
      </c>
      <c r="Q13" s="95">
        <v>2</v>
      </c>
      <c r="R13" s="47"/>
      <c r="S13" s="54">
        <v>2</v>
      </c>
      <c r="T13" s="54">
        <v>2</v>
      </c>
      <c r="U13" s="29"/>
      <c r="V13" s="27">
        <v>2</v>
      </c>
      <c r="W13" s="28">
        <v>2</v>
      </c>
      <c r="X13" s="26"/>
      <c r="Y13" s="25"/>
      <c r="Z13" s="30"/>
      <c r="AA13" s="88"/>
      <c r="AB13" s="24"/>
      <c r="AC13" s="25"/>
      <c r="AD13" s="26"/>
      <c r="AE13" s="25"/>
      <c r="AF13" s="30"/>
      <c r="AG13" s="29"/>
      <c r="AH13" s="24"/>
      <c r="AI13" s="25"/>
      <c r="AJ13" s="26"/>
      <c r="AK13" s="25"/>
      <c r="AL13" s="30"/>
      <c r="AM13" s="29"/>
      <c r="AN13" s="24"/>
      <c r="AO13" s="25"/>
      <c r="AP13" s="26"/>
      <c r="AQ13" s="25"/>
      <c r="AR13" s="30"/>
      <c r="AS13" s="29"/>
      <c r="AT13" s="24"/>
      <c r="AU13" s="25"/>
      <c r="AV13" s="26"/>
      <c r="AW13" s="25"/>
      <c r="AX13" s="30"/>
      <c r="AY13" s="29"/>
      <c r="AZ13" s="24"/>
      <c r="BA13" s="25"/>
      <c r="BB13" s="26"/>
      <c r="BC13" s="25"/>
      <c r="BD13" s="30"/>
      <c r="BE13" s="29"/>
      <c r="BF13" s="24"/>
      <c r="BG13" s="25"/>
      <c r="BH13" s="26"/>
      <c r="BI13" s="25"/>
      <c r="BJ13" s="30"/>
      <c r="BK13" s="29"/>
      <c r="BL13" s="24"/>
      <c r="BM13" s="25"/>
      <c r="BN13" s="26"/>
      <c r="BO13" s="25"/>
      <c r="BP13" s="30"/>
      <c r="BQ13" s="31"/>
      <c r="BR13" s="24"/>
      <c r="BS13" s="25"/>
      <c r="BT13" s="26"/>
      <c r="BU13" s="25"/>
      <c r="BV13" s="30"/>
      <c r="BW13" s="31"/>
      <c r="BX13" s="24"/>
      <c r="BY13" s="25"/>
      <c r="BZ13" s="26"/>
      <c r="CA13" s="25"/>
      <c r="CB13" s="30"/>
      <c r="CC13" s="31"/>
      <c r="CD13" s="24"/>
      <c r="CE13" s="25"/>
      <c r="CF13" s="26"/>
      <c r="CG13" s="25"/>
      <c r="CH13" s="30"/>
      <c r="CI13" s="29"/>
      <c r="CJ13" s="24"/>
      <c r="CK13" s="25"/>
      <c r="CL13" s="26"/>
      <c r="CM13" s="25"/>
      <c r="CN13" s="30"/>
      <c r="CO13" s="31"/>
      <c r="CP13" s="24"/>
      <c r="CQ13" s="25"/>
      <c r="CR13" s="26"/>
      <c r="CS13" s="25"/>
      <c r="CT13" s="30"/>
      <c r="CU13" s="31"/>
      <c r="CV13" s="24"/>
      <c r="CW13" s="25"/>
      <c r="CX13" s="26"/>
      <c r="CY13" s="25"/>
      <c r="CZ13" s="30"/>
      <c r="DA13" s="31"/>
      <c r="DB13" s="24"/>
      <c r="DC13" s="25"/>
      <c r="DD13" s="26"/>
      <c r="DE13" s="25"/>
      <c r="DF13" s="30"/>
    </row>
    <row r="14" spans="1:110" s="32" customFormat="1">
      <c r="A14" s="68" t="s">
        <v>12</v>
      </c>
      <c r="B14" s="69"/>
      <c r="C14" s="70"/>
      <c r="D14" s="100" t="s">
        <v>20</v>
      </c>
      <c r="E14" s="100" t="s">
        <v>34</v>
      </c>
      <c r="F14" s="33" cm="1">
        <f t="array" ref="F14">SommeSiCouleurPlage($J14:$DF14,getCouleur($G$36))+SommeSiCouleurPlage($J14:$DF14,getCouleur($P$36))</f>
        <v>4</v>
      </c>
      <c r="G14" s="33" cm="1">
        <f t="array" ref="G14">SommeSiCouleurPlage($J14:$DF14,getCouleur($J$36))+SommeSiCouleurPlage($J14:$DF14,getCouleur($P$36))</f>
        <v>4</v>
      </c>
      <c r="H14" s="33">
        <f>F14-G14</f>
        <v>0</v>
      </c>
      <c r="I14" s="23"/>
      <c r="J14" s="34"/>
      <c r="K14" s="29"/>
      <c r="L14" s="26"/>
      <c r="M14" s="29"/>
      <c r="N14" s="35"/>
      <c r="O14" s="29"/>
      <c r="P14" s="90"/>
      <c r="Q14" s="91"/>
      <c r="R14" s="26"/>
      <c r="S14" s="34"/>
      <c r="T14" s="35"/>
      <c r="U14" s="29"/>
      <c r="V14" s="56">
        <v>2</v>
      </c>
      <c r="W14" s="56">
        <v>2</v>
      </c>
      <c r="X14" s="26"/>
      <c r="Y14" s="27">
        <v>2</v>
      </c>
      <c r="Z14" s="28">
        <v>2</v>
      </c>
      <c r="AA14" s="29"/>
      <c r="AB14" s="85"/>
      <c r="AC14" s="86"/>
      <c r="AD14" s="26"/>
      <c r="AE14" s="86"/>
      <c r="AF14" s="88"/>
      <c r="AG14" s="29"/>
      <c r="AH14" s="34"/>
      <c r="AI14" s="29"/>
      <c r="AJ14" s="26"/>
      <c r="AK14" s="29"/>
      <c r="AL14" s="35"/>
      <c r="AM14" s="29"/>
      <c r="AN14" s="34"/>
      <c r="AO14" s="29"/>
      <c r="AP14" s="26"/>
      <c r="AQ14" s="29"/>
      <c r="AR14" s="35"/>
      <c r="AS14" s="29"/>
      <c r="AT14" s="34"/>
      <c r="AU14" s="29"/>
      <c r="AV14" s="26"/>
      <c r="AW14" s="29"/>
      <c r="AX14" s="35"/>
      <c r="AY14" s="29"/>
      <c r="AZ14" s="34"/>
      <c r="BA14" s="29"/>
      <c r="BB14" s="26"/>
      <c r="BC14" s="29"/>
      <c r="BD14" s="35"/>
      <c r="BE14" s="29"/>
      <c r="BF14" s="34"/>
      <c r="BG14" s="29"/>
      <c r="BH14" s="26"/>
      <c r="BI14" s="29"/>
      <c r="BJ14" s="35"/>
      <c r="BK14" s="29"/>
      <c r="BL14" s="34"/>
      <c r="BM14" s="29"/>
      <c r="BN14" s="26"/>
      <c r="BO14" s="29"/>
      <c r="BP14" s="35"/>
      <c r="BQ14" s="29"/>
      <c r="BR14" s="34"/>
      <c r="BS14" s="29"/>
      <c r="BT14" s="26"/>
      <c r="BU14" s="29"/>
      <c r="BV14" s="35"/>
      <c r="BW14" s="29"/>
      <c r="BX14" s="34"/>
      <c r="BY14" s="29"/>
      <c r="BZ14" s="26"/>
      <c r="CA14" s="29"/>
      <c r="CB14" s="35"/>
      <c r="CC14" s="29"/>
      <c r="CD14" s="34"/>
      <c r="CE14" s="29"/>
      <c r="CF14" s="26"/>
      <c r="CG14" s="29"/>
      <c r="CH14" s="35"/>
      <c r="CI14" s="29"/>
      <c r="CJ14" s="34"/>
      <c r="CK14" s="29"/>
      <c r="CL14" s="26"/>
      <c r="CM14" s="29"/>
      <c r="CN14" s="35"/>
      <c r="CO14" s="29"/>
      <c r="CP14" s="34"/>
      <c r="CQ14" s="29"/>
      <c r="CR14" s="26"/>
      <c r="CS14" s="29"/>
      <c r="CT14" s="35"/>
      <c r="CU14" s="29"/>
      <c r="CV14" s="34"/>
      <c r="CW14" s="29"/>
      <c r="CX14" s="26"/>
      <c r="CY14" s="29"/>
      <c r="CZ14" s="35"/>
      <c r="DA14" s="29"/>
      <c r="DB14" s="34"/>
      <c r="DC14" s="29"/>
      <c r="DD14" s="26"/>
      <c r="DE14" s="29"/>
      <c r="DF14" s="35"/>
    </row>
    <row r="15" spans="1:110" s="32" customFormat="1">
      <c r="A15" s="68" t="s">
        <v>13</v>
      </c>
      <c r="B15" s="69"/>
      <c r="C15" s="70"/>
      <c r="D15" s="99" t="s">
        <v>21</v>
      </c>
      <c r="E15" s="99" t="s">
        <v>35</v>
      </c>
      <c r="F15" s="22" cm="1">
        <f t="array" ref="F15">SommeSiCouleurPlage($J15:$DF15,getCouleur($G$36))+SommeSiCouleurPlage($J15:$DF15,getCouleur($P$36))</f>
        <v>12</v>
      </c>
      <c r="G15" s="22" cm="1">
        <f t="array" ref="G15">SommeSiCouleurPlage($J15:$DF15,getCouleur($J$36))+SommeSiCouleurPlage($J15:$DF15,getCouleur($P$36))</f>
        <v>6</v>
      </c>
      <c r="H15" s="22">
        <f t="shared" ref="H15:H17" si="1">F15-G15</f>
        <v>6</v>
      </c>
      <c r="I15" s="23"/>
      <c r="J15" s="24"/>
      <c r="K15" s="25"/>
      <c r="L15" s="26"/>
      <c r="M15" s="25"/>
      <c r="N15" s="30"/>
      <c r="O15" s="25"/>
      <c r="P15" s="24"/>
      <c r="Q15" s="25"/>
      <c r="R15" s="26"/>
      <c r="S15" s="24"/>
      <c r="T15" s="30"/>
      <c r="U15" s="25"/>
      <c r="V15" s="24"/>
      <c r="W15" s="25"/>
      <c r="X15" s="26"/>
      <c r="Y15" s="27">
        <v>2</v>
      </c>
      <c r="Z15" s="28">
        <v>2</v>
      </c>
      <c r="AA15" s="29"/>
      <c r="AB15" s="27">
        <v>2</v>
      </c>
      <c r="AC15" s="95">
        <v>2</v>
      </c>
      <c r="AD15" s="26"/>
      <c r="AE15" s="54">
        <v>2</v>
      </c>
      <c r="AF15" s="95">
        <v>2</v>
      </c>
      <c r="AG15" s="29"/>
      <c r="AH15" s="24"/>
      <c r="AI15" s="25"/>
      <c r="AJ15" s="26"/>
      <c r="AK15" s="25"/>
      <c r="AL15" s="30"/>
      <c r="AM15" s="29"/>
      <c r="AN15" s="24"/>
      <c r="AO15" s="25"/>
      <c r="AP15" s="26"/>
      <c r="AQ15" s="25"/>
      <c r="AR15" s="30"/>
      <c r="AS15" s="29"/>
      <c r="AT15" s="24"/>
      <c r="AU15" s="25"/>
      <c r="AV15" s="26"/>
      <c r="AW15" s="25"/>
      <c r="AX15" s="30"/>
      <c r="AY15" s="29"/>
      <c r="AZ15" s="24"/>
      <c r="BA15" s="25"/>
      <c r="BB15" s="26"/>
      <c r="BC15" s="25"/>
      <c r="BD15" s="30"/>
      <c r="BE15" s="29"/>
      <c r="BF15" s="24"/>
      <c r="BG15" s="25"/>
      <c r="BH15" s="26"/>
      <c r="BI15" s="25"/>
      <c r="BJ15" s="30"/>
      <c r="BK15" s="29"/>
      <c r="BL15" s="24"/>
      <c r="BM15" s="25"/>
      <c r="BN15" s="26"/>
      <c r="BO15" s="25"/>
      <c r="BP15" s="30"/>
      <c r="BQ15" s="29"/>
      <c r="BR15" s="24"/>
      <c r="BS15" s="25"/>
      <c r="BT15" s="26"/>
      <c r="BU15" s="25"/>
      <c r="BV15" s="30"/>
      <c r="BW15" s="29"/>
      <c r="BX15" s="24"/>
      <c r="BY15" s="25"/>
      <c r="BZ15" s="26"/>
      <c r="CA15" s="25"/>
      <c r="CB15" s="30"/>
      <c r="CC15" s="29"/>
      <c r="CD15" s="24"/>
      <c r="CE15" s="25"/>
      <c r="CF15" s="26"/>
      <c r="CG15" s="25"/>
      <c r="CH15" s="30"/>
      <c r="CI15" s="29"/>
      <c r="CJ15" s="24"/>
      <c r="CK15" s="25"/>
      <c r="CL15" s="26"/>
      <c r="CM15" s="25"/>
      <c r="CN15" s="30"/>
      <c r="CO15" s="29"/>
      <c r="CP15" s="24"/>
      <c r="CQ15" s="25"/>
      <c r="CR15" s="26"/>
      <c r="CS15" s="25"/>
      <c r="CT15" s="30"/>
      <c r="CU15" s="29"/>
      <c r="CV15" s="24"/>
      <c r="CW15" s="25"/>
      <c r="CX15" s="26"/>
      <c r="CY15" s="25"/>
      <c r="CZ15" s="30"/>
      <c r="DA15" s="29"/>
      <c r="DB15" s="24"/>
      <c r="DC15" s="25"/>
      <c r="DD15" s="26"/>
      <c r="DE15" s="25"/>
      <c r="DF15" s="30"/>
    </row>
    <row r="16" spans="1:110" s="32" customFormat="1">
      <c r="A16" s="68" t="s">
        <v>14</v>
      </c>
      <c r="B16" s="69"/>
      <c r="C16" s="70"/>
      <c r="D16" s="101" t="s">
        <v>22</v>
      </c>
      <c r="E16" s="101" t="s">
        <v>36</v>
      </c>
      <c r="F16" s="57" cm="1">
        <f t="array" ref="F16">SommeSiCouleurPlage($J16:$DF16,getCouleur($G$36))+SommeSiCouleurPlage($J16:$DF16,getCouleur($P$36))</f>
        <v>0</v>
      </c>
      <c r="G16" s="57" cm="1">
        <f t="array" ref="G16">SommeSiCouleurPlage($J16:$DF16,getCouleur($J$36))+SommeSiCouleurPlage($J16:$DF16,getCouleur($P$36))</f>
        <v>0</v>
      </c>
      <c r="H16" s="57">
        <f t="shared" si="1"/>
        <v>0</v>
      </c>
      <c r="I16" s="84"/>
      <c r="J16" s="85"/>
      <c r="K16" s="86"/>
      <c r="L16" s="87"/>
      <c r="M16" s="86"/>
      <c r="N16" s="88"/>
      <c r="O16" s="86"/>
      <c r="P16" s="85"/>
      <c r="Q16" s="86"/>
      <c r="R16" s="87"/>
      <c r="S16" s="85"/>
      <c r="T16" s="88"/>
      <c r="U16" s="86"/>
      <c r="V16" s="85"/>
      <c r="W16" s="86"/>
      <c r="X16" s="87"/>
      <c r="Y16" s="86"/>
      <c r="Z16" s="88"/>
      <c r="AA16" s="88"/>
      <c r="AB16" s="85"/>
      <c r="AC16" s="86"/>
      <c r="AD16" s="87"/>
      <c r="AE16" s="86"/>
      <c r="AF16" s="88"/>
      <c r="AG16" s="86"/>
      <c r="AH16" s="85"/>
      <c r="AI16" s="86"/>
      <c r="AJ16" s="87"/>
      <c r="AK16" s="86"/>
      <c r="AL16" s="88"/>
      <c r="AM16" s="86"/>
      <c r="AN16" s="85"/>
      <c r="AO16" s="86"/>
      <c r="AP16" s="87"/>
      <c r="AQ16" s="86"/>
      <c r="AR16" s="88"/>
      <c r="AS16" s="86"/>
      <c r="AT16" s="85"/>
      <c r="AU16" s="86"/>
      <c r="AV16" s="87"/>
      <c r="AW16" s="86"/>
      <c r="AX16" s="88"/>
      <c r="AY16" s="86"/>
      <c r="AZ16" s="85"/>
      <c r="BA16" s="86"/>
      <c r="BB16" s="87"/>
      <c r="BC16" s="86"/>
      <c r="BD16" s="88"/>
      <c r="BE16" s="86"/>
      <c r="BF16" s="85"/>
      <c r="BG16" s="86"/>
      <c r="BH16" s="87"/>
      <c r="BI16" s="86"/>
      <c r="BJ16" s="88"/>
      <c r="BK16" s="86"/>
      <c r="BL16" s="85"/>
      <c r="BM16" s="86"/>
      <c r="BN16" s="87"/>
      <c r="BO16" s="86"/>
      <c r="BP16" s="88"/>
      <c r="BQ16" s="86"/>
      <c r="BR16" s="85"/>
      <c r="BS16" s="86"/>
      <c r="BT16" s="87"/>
      <c r="BU16" s="86"/>
      <c r="BV16" s="88"/>
      <c r="BW16" s="86"/>
      <c r="BX16" s="85"/>
      <c r="BY16" s="86"/>
      <c r="BZ16" s="87"/>
      <c r="CA16" s="86"/>
      <c r="CB16" s="88"/>
      <c r="CC16" s="86"/>
      <c r="CD16" s="85"/>
      <c r="CE16" s="86"/>
      <c r="CF16" s="87"/>
      <c r="CG16" s="86"/>
      <c r="CH16" s="88"/>
      <c r="CI16" s="86"/>
      <c r="CJ16" s="85"/>
      <c r="CK16" s="86"/>
      <c r="CL16" s="87"/>
      <c r="CM16" s="86"/>
      <c r="CN16" s="88"/>
      <c r="CO16" s="86"/>
      <c r="CP16" s="85"/>
      <c r="CQ16" s="86"/>
      <c r="CR16" s="87"/>
      <c r="CS16" s="86"/>
      <c r="CT16" s="88"/>
      <c r="CU16" s="86"/>
      <c r="CV16" s="85"/>
      <c r="CW16" s="86"/>
      <c r="CX16" s="87"/>
      <c r="CY16" s="86"/>
      <c r="CZ16" s="88"/>
      <c r="DA16" s="86"/>
      <c r="DB16" s="85"/>
      <c r="DC16" s="86"/>
      <c r="DD16" s="87"/>
      <c r="DE16" s="86"/>
      <c r="DF16" s="88"/>
    </row>
    <row r="17" spans="1:110" s="32" customFormat="1">
      <c r="A17" s="68" t="s">
        <v>15</v>
      </c>
      <c r="B17" s="69"/>
      <c r="C17" s="70"/>
      <c r="D17" s="99" t="s">
        <v>23</v>
      </c>
      <c r="E17" s="99" t="s">
        <v>35</v>
      </c>
      <c r="F17" s="22" cm="1">
        <f t="array" ref="F17">SommeSiCouleurPlage($J17:$DF17,getCouleur($G$36))+SommeSiCouleurPlage($J17:$DF17,getCouleur($P$36))</f>
        <v>0</v>
      </c>
      <c r="G17" s="22" cm="1">
        <f t="array" ref="G17">SommeSiCouleurPlage($J17:$DF17,getCouleur($J$36))+SommeSiCouleurPlage($J17:$DF17,getCouleur($P$36))</f>
        <v>0</v>
      </c>
      <c r="H17" s="22">
        <f t="shared" si="1"/>
        <v>0</v>
      </c>
      <c r="I17" s="23"/>
      <c r="J17" s="24"/>
      <c r="K17" s="25"/>
      <c r="L17" s="26"/>
      <c r="M17" s="25"/>
      <c r="N17" s="30"/>
      <c r="O17" s="25"/>
      <c r="P17" s="24"/>
      <c r="Q17" s="25"/>
      <c r="R17" s="26"/>
      <c r="S17" s="24"/>
      <c r="T17" s="30"/>
      <c r="U17" s="25"/>
      <c r="V17" s="24"/>
      <c r="W17" s="25"/>
      <c r="X17" s="26"/>
      <c r="Y17" s="25"/>
      <c r="Z17" s="30"/>
      <c r="AA17" s="30"/>
      <c r="AB17" s="24"/>
      <c r="AC17" s="25"/>
      <c r="AD17" s="26"/>
      <c r="AE17" s="25"/>
      <c r="AF17" s="30"/>
      <c r="AG17" s="29"/>
      <c r="AH17" s="24"/>
      <c r="AI17" s="25"/>
      <c r="AJ17" s="26"/>
      <c r="AK17" s="25"/>
      <c r="AL17" s="30"/>
      <c r="AM17" s="29"/>
      <c r="AN17" s="24"/>
      <c r="AO17" s="25"/>
      <c r="AP17" s="26"/>
      <c r="AQ17" s="25"/>
      <c r="AR17" s="30"/>
      <c r="AS17" s="29"/>
      <c r="AT17" s="24"/>
      <c r="AU17" s="25"/>
      <c r="AV17" s="26"/>
      <c r="AW17" s="25"/>
      <c r="AX17" s="30"/>
      <c r="AY17" s="29"/>
      <c r="AZ17" s="24"/>
      <c r="BA17" s="25"/>
      <c r="BB17" s="26"/>
      <c r="BC17" s="25"/>
      <c r="BD17" s="30"/>
      <c r="BE17" s="29"/>
      <c r="BF17" s="24"/>
      <c r="BG17" s="25"/>
      <c r="BH17" s="26"/>
      <c r="BI17" s="25"/>
      <c r="BJ17" s="30"/>
      <c r="BK17" s="29"/>
      <c r="BL17" s="24"/>
      <c r="BM17" s="25"/>
      <c r="BN17" s="26"/>
      <c r="BO17" s="25"/>
      <c r="BP17" s="30"/>
      <c r="BQ17" s="29"/>
      <c r="BR17" s="24"/>
      <c r="BS17" s="25"/>
      <c r="BT17" s="26"/>
      <c r="BU17" s="25"/>
      <c r="BV17" s="30"/>
      <c r="BW17" s="29"/>
      <c r="BX17" s="24"/>
      <c r="BY17" s="25"/>
      <c r="BZ17" s="26"/>
      <c r="CA17" s="25"/>
      <c r="CB17" s="30"/>
      <c r="CC17" s="29"/>
      <c r="CD17" s="24"/>
      <c r="CE17" s="25"/>
      <c r="CF17" s="26"/>
      <c r="CG17" s="25"/>
      <c r="CH17" s="30"/>
      <c r="CI17" s="29"/>
      <c r="CJ17" s="24"/>
      <c r="CK17" s="25"/>
      <c r="CL17" s="26"/>
      <c r="CM17" s="25"/>
      <c r="CN17" s="30"/>
      <c r="CO17" s="29"/>
      <c r="CP17" s="24"/>
      <c r="CQ17" s="25"/>
      <c r="CR17" s="26"/>
      <c r="CS17" s="25"/>
      <c r="CT17" s="30"/>
      <c r="CU17" s="29"/>
      <c r="CV17" s="24"/>
      <c r="CW17" s="25"/>
      <c r="CX17" s="26"/>
      <c r="CY17" s="25"/>
      <c r="CZ17" s="30"/>
      <c r="DA17" s="29"/>
      <c r="DB17" s="24"/>
      <c r="DC17" s="25"/>
      <c r="DD17" s="26"/>
      <c r="DE17" s="25"/>
      <c r="DF17" s="30"/>
    </row>
    <row r="18" spans="1:110" s="32" customFormat="1">
      <c r="A18" s="68" t="s">
        <v>16</v>
      </c>
      <c r="B18" s="69"/>
      <c r="C18" s="70"/>
      <c r="D18" s="101" t="s">
        <v>24</v>
      </c>
      <c r="E18" s="101" t="s">
        <v>36</v>
      </c>
      <c r="F18" s="57" cm="1">
        <f t="array" ref="F18">SommeSiCouleurPlage($J18:$DF18,getCouleur($G$36))+SommeSiCouleurPlage($J18:$DF18,getCouleur($P$36))</f>
        <v>0</v>
      </c>
      <c r="G18" s="57" cm="1">
        <f t="array" ref="G18">SommeSiCouleurPlage($J18:$DF18,getCouleur($J$36))+SommeSiCouleurPlage($J18:$DF18,getCouleur($P$36))</f>
        <v>0</v>
      </c>
      <c r="H18" s="57">
        <f t="shared" si="0"/>
        <v>0</v>
      </c>
      <c r="I18" s="89"/>
      <c r="J18" s="90"/>
      <c r="K18" s="91"/>
      <c r="L18" s="92"/>
      <c r="M18" s="91"/>
      <c r="N18" s="93"/>
      <c r="O18" s="91"/>
      <c r="P18" s="90"/>
      <c r="Q18" s="91"/>
      <c r="R18" s="92"/>
      <c r="S18" s="91">
        <v>2</v>
      </c>
      <c r="T18" s="93"/>
      <c r="U18" s="91"/>
      <c r="V18" s="90"/>
      <c r="W18" s="91"/>
      <c r="X18" s="92"/>
      <c r="Y18" s="91"/>
      <c r="Z18" s="93"/>
      <c r="AA18" s="93"/>
      <c r="AB18" s="90"/>
      <c r="AC18" s="91"/>
      <c r="AD18" s="92"/>
      <c r="AE18" s="91"/>
      <c r="AF18" s="93"/>
      <c r="AG18" s="91"/>
      <c r="AH18" s="90"/>
      <c r="AI18" s="91"/>
      <c r="AJ18" s="92"/>
      <c r="AK18" s="91"/>
      <c r="AL18" s="93"/>
      <c r="AM18" s="91"/>
      <c r="AN18" s="90"/>
      <c r="AO18" s="91"/>
      <c r="AP18" s="92"/>
      <c r="AQ18" s="91"/>
      <c r="AR18" s="93"/>
      <c r="AS18" s="91"/>
      <c r="AT18" s="90"/>
      <c r="AU18" s="91"/>
      <c r="AV18" s="92"/>
      <c r="AW18" s="91"/>
      <c r="AX18" s="93"/>
      <c r="AY18" s="91"/>
      <c r="AZ18" s="90"/>
      <c r="BA18" s="91"/>
      <c r="BB18" s="92"/>
      <c r="BC18" s="91"/>
      <c r="BD18" s="93"/>
      <c r="BE18" s="91"/>
      <c r="BF18" s="90"/>
      <c r="BG18" s="91"/>
      <c r="BH18" s="92"/>
      <c r="BI18" s="91"/>
      <c r="BJ18" s="93"/>
      <c r="BK18" s="91"/>
      <c r="BL18" s="90"/>
      <c r="BM18" s="91"/>
      <c r="BN18" s="92"/>
      <c r="BO18" s="91"/>
      <c r="BP18" s="93"/>
      <c r="BQ18" s="91"/>
      <c r="BR18" s="90"/>
      <c r="BS18" s="91"/>
      <c r="BT18" s="92"/>
      <c r="BU18" s="91"/>
      <c r="BV18" s="93"/>
      <c r="BW18" s="91"/>
      <c r="BX18" s="90"/>
      <c r="BY18" s="91"/>
      <c r="BZ18" s="92"/>
      <c r="CA18" s="91"/>
      <c r="CB18" s="93"/>
      <c r="CC18" s="91"/>
      <c r="CD18" s="90"/>
      <c r="CE18" s="91"/>
      <c r="CF18" s="92"/>
      <c r="CG18" s="91"/>
      <c r="CH18" s="93"/>
      <c r="CI18" s="91"/>
      <c r="CJ18" s="90"/>
      <c r="CK18" s="91"/>
      <c r="CL18" s="92"/>
      <c r="CM18" s="91"/>
      <c r="CN18" s="93"/>
      <c r="CO18" s="91"/>
      <c r="CP18" s="90"/>
      <c r="CQ18" s="91"/>
      <c r="CR18" s="92"/>
      <c r="CS18" s="91"/>
      <c r="CT18" s="93"/>
      <c r="CU18" s="91"/>
      <c r="CV18" s="90"/>
      <c r="CW18" s="91"/>
      <c r="CX18" s="92"/>
      <c r="CY18" s="91"/>
      <c r="CZ18" s="93"/>
      <c r="DA18" s="91"/>
      <c r="DB18" s="90"/>
      <c r="DC18" s="91"/>
      <c r="DD18" s="92"/>
      <c r="DE18" s="91"/>
      <c r="DF18" s="93"/>
    </row>
    <row r="19" spans="1:110" s="32" customFormat="1" ht="15.75">
      <c r="A19" s="67" t="s">
        <v>25</v>
      </c>
      <c r="B19" s="67"/>
      <c r="C19" s="102"/>
      <c r="D19" s="59" t="s">
        <v>42</v>
      </c>
      <c r="E19" s="59"/>
      <c r="F19" s="5">
        <f>SUM(F20:F25)</f>
        <v>22</v>
      </c>
      <c r="G19" s="5">
        <f>SUM(G20:G25)</f>
        <v>24</v>
      </c>
      <c r="H19" s="6">
        <f>SUM(H20:H25)</f>
        <v>-2</v>
      </c>
      <c r="I19" s="11"/>
      <c r="J19" s="36"/>
      <c r="K19" s="37"/>
      <c r="L19" s="51"/>
      <c r="M19" s="37"/>
      <c r="N19" s="38"/>
      <c r="O19" s="29"/>
      <c r="P19" s="36"/>
      <c r="Q19" s="37"/>
      <c r="R19" s="37"/>
      <c r="S19" s="37"/>
      <c r="T19" s="38"/>
      <c r="U19" s="29"/>
      <c r="V19" s="36"/>
      <c r="W19" s="37"/>
      <c r="X19" s="37"/>
      <c r="Y19" s="37"/>
      <c r="Z19" s="38"/>
      <c r="AA19" s="29"/>
      <c r="AB19" s="36"/>
      <c r="AC19" s="37"/>
      <c r="AD19" s="37"/>
      <c r="AE19" s="37"/>
      <c r="AF19" s="38"/>
      <c r="AG19" s="29"/>
      <c r="AH19" s="36"/>
      <c r="AI19" s="37"/>
      <c r="AJ19" s="37"/>
      <c r="AK19" s="37"/>
      <c r="AL19" s="38"/>
      <c r="AM19" s="29"/>
      <c r="AN19" s="36"/>
      <c r="AO19" s="37"/>
      <c r="AP19" s="37"/>
      <c r="AQ19" s="37"/>
      <c r="AR19" s="38"/>
      <c r="AS19" s="29"/>
      <c r="AT19" s="36"/>
      <c r="AU19" s="37"/>
      <c r="AV19" s="37"/>
      <c r="AW19" s="37"/>
      <c r="AX19" s="38"/>
      <c r="AY19" s="29"/>
      <c r="AZ19" s="36"/>
      <c r="BA19" s="37"/>
      <c r="BB19" s="37"/>
      <c r="BC19" s="37"/>
      <c r="BD19" s="38"/>
      <c r="BE19" s="29"/>
      <c r="BF19" s="36"/>
      <c r="BG19" s="37"/>
      <c r="BH19" s="37"/>
      <c r="BI19" s="37"/>
      <c r="BJ19" s="38"/>
      <c r="BK19" s="29"/>
      <c r="BL19" s="36"/>
      <c r="BM19" s="37"/>
      <c r="BN19" s="37"/>
      <c r="BO19" s="37"/>
      <c r="BP19" s="38"/>
      <c r="BQ19" s="31"/>
      <c r="BR19" s="36"/>
      <c r="BS19" s="37"/>
      <c r="BT19" s="37"/>
      <c r="BU19" s="37"/>
      <c r="BV19" s="38"/>
      <c r="BW19" s="31"/>
      <c r="BX19" s="36"/>
      <c r="BY19" s="37"/>
      <c r="BZ19" s="37"/>
      <c r="CA19" s="37"/>
      <c r="CB19" s="38"/>
      <c r="CC19" s="31"/>
      <c r="CD19" s="36"/>
      <c r="CE19" s="37"/>
      <c r="CF19" s="37"/>
      <c r="CG19" s="37"/>
      <c r="CH19" s="38"/>
      <c r="CI19" s="29"/>
      <c r="CJ19" s="36"/>
      <c r="CK19" s="37"/>
      <c r="CL19" s="37"/>
      <c r="CM19" s="37"/>
      <c r="CN19" s="38"/>
      <c r="CO19" s="31"/>
      <c r="CP19" s="36"/>
      <c r="CQ19" s="37"/>
      <c r="CR19" s="37"/>
      <c r="CS19" s="37"/>
      <c r="CT19" s="38"/>
      <c r="CU19" s="31"/>
      <c r="CV19" s="36"/>
      <c r="CW19" s="37"/>
      <c r="CX19" s="37"/>
      <c r="CY19" s="37"/>
      <c r="CZ19" s="38"/>
      <c r="DA19" s="31"/>
      <c r="DB19" s="36"/>
      <c r="DC19" s="37"/>
      <c r="DD19" s="37"/>
      <c r="DE19" s="37"/>
      <c r="DF19" s="38"/>
    </row>
    <row r="20" spans="1:110" s="32" customFormat="1">
      <c r="A20" s="72" t="s">
        <v>26</v>
      </c>
      <c r="B20" s="72"/>
      <c r="C20" s="68"/>
      <c r="D20" s="99" t="s">
        <v>24</v>
      </c>
      <c r="E20" s="99" t="s">
        <v>36</v>
      </c>
      <c r="F20" s="22" cm="1">
        <f t="array" ref="F20">SommeSiCouleurPlage($J20:$DF20,getCouleur($G$36))+SommeSiCouleurPlage($J20:$DF20,getCouleur($P$36))</f>
        <v>6</v>
      </c>
      <c r="G20" s="22" cm="1">
        <f t="array" ref="G20">SommeSiCouleurPlage($J20:$DF20,getCouleur($J$36))+SommeSiCouleurPlage($J20:$DF20,getCouleur($P$36))</f>
        <v>3</v>
      </c>
      <c r="H20" s="22">
        <f t="shared" si="0"/>
        <v>3</v>
      </c>
      <c r="I20" s="23"/>
      <c r="J20" s="24"/>
      <c r="K20" s="25"/>
      <c r="L20" s="26"/>
      <c r="M20" s="25"/>
      <c r="N20" s="30"/>
      <c r="O20" s="29"/>
      <c r="P20" s="24"/>
      <c r="Q20" s="25"/>
      <c r="R20" s="26"/>
      <c r="S20" s="25"/>
      <c r="T20" s="55">
        <v>1</v>
      </c>
      <c r="U20" s="29"/>
      <c r="V20" s="54">
        <v>2</v>
      </c>
      <c r="W20" s="28">
        <v>1</v>
      </c>
      <c r="X20" s="26"/>
      <c r="Y20" s="28">
        <v>2</v>
      </c>
      <c r="Z20" s="30"/>
      <c r="AA20" s="29"/>
      <c r="AB20" s="24"/>
      <c r="AC20" s="25"/>
      <c r="AD20" s="26"/>
      <c r="AE20" s="25"/>
      <c r="AF20" s="30"/>
      <c r="AG20" s="29"/>
      <c r="AH20" s="24"/>
      <c r="AI20" s="25"/>
      <c r="AJ20" s="26"/>
      <c r="AK20" s="25"/>
      <c r="AL20" s="30"/>
      <c r="AM20" s="29"/>
      <c r="AN20" s="24"/>
      <c r="AO20" s="25"/>
      <c r="AP20" s="26"/>
      <c r="AQ20" s="25"/>
      <c r="AR20" s="30"/>
      <c r="AS20" s="29"/>
      <c r="AT20" s="24"/>
      <c r="AU20" s="25"/>
      <c r="AV20" s="26"/>
      <c r="AW20" s="25"/>
      <c r="AX20" s="30"/>
      <c r="AY20" s="29"/>
      <c r="AZ20" s="24"/>
      <c r="BA20" s="25"/>
      <c r="BB20" s="26"/>
      <c r="BC20" s="25"/>
      <c r="BD20" s="30"/>
      <c r="BE20" s="29"/>
      <c r="BF20" s="24"/>
      <c r="BG20" s="25"/>
      <c r="BH20" s="26"/>
      <c r="BI20" s="25"/>
      <c r="BJ20" s="30"/>
      <c r="BK20" s="29"/>
      <c r="BL20" s="24"/>
      <c r="BM20" s="25"/>
      <c r="BN20" s="26"/>
      <c r="BO20" s="25"/>
      <c r="BP20" s="30"/>
      <c r="BQ20" s="31"/>
      <c r="BR20" s="24"/>
      <c r="BS20" s="25"/>
      <c r="BT20" s="26"/>
      <c r="BU20" s="25"/>
      <c r="BV20" s="30"/>
      <c r="BW20" s="31"/>
      <c r="BX20" s="24"/>
      <c r="BY20" s="25"/>
      <c r="BZ20" s="26"/>
      <c r="CA20" s="25"/>
      <c r="CB20" s="30"/>
      <c r="CC20" s="31"/>
      <c r="CD20" s="24"/>
      <c r="CE20" s="25"/>
      <c r="CF20" s="26"/>
      <c r="CG20" s="25"/>
      <c r="CH20" s="30"/>
      <c r="CI20" s="29"/>
      <c r="CJ20" s="24"/>
      <c r="CK20" s="25"/>
      <c r="CL20" s="26"/>
      <c r="CM20" s="25"/>
      <c r="CN20" s="30"/>
      <c r="CO20" s="31"/>
      <c r="CP20" s="24"/>
      <c r="CQ20" s="25"/>
      <c r="CR20" s="26"/>
      <c r="CS20" s="25"/>
      <c r="CT20" s="30"/>
      <c r="CU20" s="31"/>
      <c r="CV20" s="24"/>
      <c r="CW20" s="25"/>
      <c r="CX20" s="26"/>
      <c r="CY20" s="25"/>
      <c r="CZ20" s="30"/>
      <c r="DA20" s="31"/>
      <c r="DB20" s="24"/>
      <c r="DC20" s="25"/>
      <c r="DD20" s="26"/>
      <c r="DE20" s="25"/>
      <c r="DF20" s="30"/>
    </row>
    <row r="21" spans="1:110" s="32" customFormat="1">
      <c r="A21" s="72" t="s">
        <v>30</v>
      </c>
      <c r="B21" s="72"/>
      <c r="C21" s="68"/>
      <c r="D21" s="100" t="s">
        <v>24</v>
      </c>
      <c r="E21" s="100" t="s">
        <v>36</v>
      </c>
      <c r="F21" s="33" cm="1">
        <f t="array" ref="F21">SommeSiCouleurPlage($J21:$DF21,getCouleur($G$36))+SommeSiCouleurPlage($J21:$DF21,getCouleur($P$36))</f>
        <v>4</v>
      </c>
      <c r="G21" s="33" cm="1">
        <f t="array" ref="G21">SommeSiCouleurPlage($J21:$DF21,getCouleur($J$36))+SommeSiCouleurPlage($J21:$DF21,getCouleur($P$36))</f>
        <v>9</v>
      </c>
      <c r="H21" s="33">
        <f t="shared" si="0"/>
        <v>-5</v>
      </c>
      <c r="I21" s="23"/>
      <c r="J21" s="34"/>
      <c r="K21" s="29"/>
      <c r="L21" s="26"/>
      <c r="M21" s="29"/>
      <c r="N21" s="35"/>
      <c r="O21" s="29"/>
      <c r="P21" s="34"/>
      <c r="Q21" s="39"/>
      <c r="R21" s="26"/>
      <c r="S21" s="29"/>
      <c r="T21" s="35"/>
      <c r="U21" s="29"/>
      <c r="V21" s="34"/>
      <c r="W21" s="28">
        <v>1</v>
      </c>
      <c r="X21" s="26"/>
      <c r="Y21" s="54">
        <v>2</v>
      </c>
      <c r="Z21" s="28">
        <v>1</v>
      </c>
      <c r="AA21" s="29"/>
      <c r="AB21" s="34"/>
      <c r="AC21" s="39"/>
      <c r="AD21" s="26"/>
      <c r="AE21" s="34"/>
      <c r="AF21" s="35"/>
      <c r="AG21" s="29"/>
      <c r="AH21" s="34"/>
      <c r="AI21" s="29"/>
      <c r="AJ21" s="26"/>
      <c r="AK21" s="29"/>
      <c r="AL21" s="35"/>
      <c r="AM21" s="29"/>
      <c r="AN21" s="34"/>
      <c r="AO21" s="56">
        <v>2</v>
      </c>
      <c r="AP21" s="26"/>
      <c r="AQ21" s="56">
        <v>2</v>
      </c>
      <c r="AR21" s="35"/>
      <c r="AS21" s="29"/>
      <c r="AT21" s="56">
        <v>2</v>
      </c>
      <c r="AU21" s="56">
        <v>1</v>
      </c>
      <c r="AV21" s="26"/>
      <c r="AW21" s="29"/>
      <c r="AX21" s="35"/>
      <c r="AY21" s="29"/>
      <c r="AZ21" s="34"/>
      <c r="BA21" s="29"/>
      <c r="BB21" s="26"/>
      <c r="BC21" s="29"/>
      <c r="BD21" s="35"/>
      <c r="BE21" s="29"/>
      <c r="BF21" s="34"/>
      <c r="BG21" s="29"/>
      <c r="BH21" s="26"/>
      <c r="BI21" s="29"/>
      <c r="BJ21" s="35"/>
      <c r="BK21" s="29"/>
      <c r="BL21" s="34"/>
      <c r="BM21" s="29"/>
      <c r="BN21" s="26"/>
      <c r="BO21" s="29"/>
      <c r="BP21" s="35"/>
      <c r="BQ21" s="31"/>
      <c r="BR21" s="34"/>
      <c r="BS21" s="29"/>
      <c r="BT21" s="26"/>
      <c r="BU21" s="29"/>
      <c r="BV21" s="35"/>
      <c r="BW21" s="31"/>
      <c r="BX21" s="34"/>
      <c r="BY21" s="29"/>
      <c r="BZ21" s="26"/>
      <c r="CA21" s="29"/>
      <c r="CB21" s="35"/>
      <c r="CC21" s="31"/>
      <c r="CD21" s="34"/>
      <c r="CE21" s="29"/>
      <c r="CF21" s="26"/>
      <c r="CG21" s="29"/>
      <c r="CH21" s="35"/>
      <c r="CI21" s="29"/>
      <c r="CJ21" s="34"/>
      <c r="CK21" s="29"/>
      <c r="CL21" s="26"/>
      <c r="CM21" s="29"/>
      <c r="CN21" s="35"/>
      <c r="CO21" s="31"/>
      <c r="CP21" s="34"/>
      <c r="CQ21" s="29"/>
      <c r="CR21" s="26"/>
      <c r="CS21" s="29"/>
      <c r="CT21" s="35"/>
      <c r="CU21" s="31"/>
      <c r="CV21" s="34"/>
      <c r="CW21" s="29"/>
      <c r="CX21" s="26"/>
      <c r="CY21" s="29"/>
      <c r="CZ21" s="35"/>
      <c r="DA21" s="31"/>
      <c r="DB21" s="34"/>
      <c r="DC21" s="29"/>
      <c r="DD21" s="26"/>
      <c r="DE21" s="29"/>
      <c r="DF21" s="35"/>
    </row>
    <row r="22" spans="1:110" s="32" customFormat="1">
      <c r="A22" s="72" t="s">
        <v>27</v>
      </c>
      <c r="B22" s="72"/>
      <c r="C22" s="68"/>
      <c r="D22" s="99" t="s">
        <v>19</v>
      </c>
      <c r="E22" s="99" t="s">
        <v>34</v>
      </c>
      <c r="F22" s="22" cm="1">
        <f t="array" ref="F22">SommeSiCouleurPlage($J22:$DF22,getCouleur($G$36))+SommeSiCouleurPlage($J22:$DF22,getCouleur($P$36))</f>
        <v>4</v>
      </c>
      <c r="G22" s="22" cm="1">
        <f t="array" ref="G22">SommeSiCouleurPlage($J22:$DF22,getCouleur($J$36))+SommeSiCouleurPlage($J22:$DF22,getCouleur($P$36))</f>
        <v>4</v>
      </c>
      <c r="H22" s="22">
        <f t="shared" si="0"/>
        <v>0</v>
      </c>
      <c r="I22" s="23"/>
      <c r="J22" s="24"/>
      <c r="K22" s="25"/>
      <c r="L22" s="26"/>
      <c r="M22" s="25"/>
      <c r="N22" s="30"/>
      <c r="O22" s="29"/>
      <c r="P22" s="24"/>
      <c r="Q22" s="25"/>
      <c r="R22" s="26"/>
      <c r="S22" s="25"/>
      <c r="T22" s="30"/>
      <c r="U22" s="29"/>
      <c r="V22" s="24"/>
      <c r="W22" s="25"/>
      <c r="X22" s="26"/>
      <c r="Y22" s="25"/>
      <c r="Z22" s="30"/>
      <c r="AA22" s="29"/>
      <c r="AB22" s="54">
        <v>2</v>
      </c>
      <c r="AC22" s="54">
        <v>1</v>
      </c>
      <c r="AD22" s="26"/>
      <c r="AE22" s="54">
        <v>1</v>
      </c>
      <c r="AF22" s="30"/>
      <c r="AG22" s="29"/>
      <c r="AH22" s="24"/>
      <c r="AI22" s="25"/>
      <c r="AJ22" s="26"/>
      <c r="AK22" s="25"/>
      <c r="AL22" s="30"/>
      <c r="AM22" s="29"/>
      <c r="AN22" s="24"/>
      <c r="AO22" s="25"/>
      <c r="AP22" s="26"/>
      <c r="AQ22" s="25"/>
      <c r="AR22" s="30"/>
      <c r="AS22" s="29"/>
      <c r="AT22" s="24"/>
      <c r="AU22" s="25"/>
      <c r="AV22" s="26"/>
      <c r="AW22" s="25"/>
      <c r="AX22" s="30"/>
      <c r="AY22" s="29"/>
      <c r="AZ22" s="24"/>
      <c r="BA22" s="25"/>
      <c r="BB22" s="26"/>
      <c r="BC22" s="25"/>
      <c r="BD22" s="30"/>
      <c r="BE22" s="29"/>
      <c r="BF22" s="24"/>
      <c r="BG22" s="25"/>
      <c r="BH22" s="26"/>
      <c r="BI22" s="25"/>
      <c r="BJ22" s="30"/>
      <c r="BK22" s="29"/>
      <c r="BL22" s="24"/>
      <c r="BM22" s="25"/>
      <c r="BN22" s="26"/>
      <c r="BO22" s="25"/>
      <c r="BP22" s="30"/>
      <c r="BQ22" s="31"/>
      <c r="BR22" s="24"/>
      <c r="BS22" s="25"/>
      <c r="BT22" s="26"/>
      <c r="BU22" s="25"/>
      <c r="BV22" s="30"/>
      <c r="BW22" s="31"/>
      <c r="BX22" s="24"/>
      <c r="BY22" s="25"/>
      <c r="BZ22" s="26"/>
      <c r="CA22" s="25"/>
      <c r="CB22" s="30"/>
      <c r="CC22" s="31"/>
      <c r="CD22" s="24"/>
      <c r="CE22" s="25"/>
      <c r="CF22" s="26"/>
      <c r="CG22" s="25"/>
      <c r="CH22" s="30"/>
      <c r="CI22" s="29"/>
      <c r="CJ22" s="24"/>
      <c r="CK22" s="25"/>
      <c r="CL22" s="26"/>
      <c r="CM22" s="25"/>
      <c r="CN22" s="30"/>
      <c r="CO22" s="31"/>
      <c r="CP22" s="24"/>
      <c r="CQ22" s="25"/>
      <c r="CR22" s="26"/>
      <c r="CS22" s="25"/>
      <c r="CT22" s="30"/>
      <c r="CU22" s="31"/>
      <c r="CV22" s="24"/>
      <c r="CW22" s="25"/>
      <c r="CX22" s="26"/>
      <c r="CY22" s="25"/>
      <c r="CZ22" s="30"/>
      <c r="DA22" s="31"/>
      <c r="DB22" s="24"/>
      <c r="DC22" s="25"/>
      <c r="DD22" s="26"/>
      <c r="DE22" s="25"/>
      <c r="DF22" s="30"/>
    </row>
    <row r="23" spans="1:110" s="32" customFormat="1">
      <c r="A23" s="72" t="s">
        <v>28</v>
      </c>
      <c r="B23" s="72"/>
      <c r="C23" s="68"/>
      <c r="D23" s="100" t="s">
        <v>20</v>
      </c>
      <c r="E23" s="100" t="s">
        <v>34</v>
      </c>
      <c r="F23" s="33" cm="1">
        <f t="array" ref="F23">SommeSiCouleurPlage($J23:$DF23,getCouleur($G$36))+SommeSiCouleurPlage($J23:$DF23,getCouleur($P$36))</f>
        <v>4</v>
      </c>
      <c r="G23" s="33" cm="1">
        <f t="array" ref="G23">SommeSiCouleurPlage($J23:$DF23,getCouleur($J$36))+SommeSiCouleurPlage($J23:$DF23,getCouleur($P$36))</f>
        <v>6</v>
      </c>
      <c r="H23" s="33">
        <f t="shared" si="0"/>
        <v>-2</v>
      </c>
      <c r="I23" s="23"/>
      <c r="J23" s="34"/>
      <c r="K23" s="29"/>
      <c r="L23" s="26"/>
      <c r="M23" s="29"/>
      <c r="N23" s="35"/>
      <c r="O23" s="29"/>
      <c r="P23" s="34"/>
      <c r="Q23" s="29"/>
      <c r="R23" s="26"/>
      <c r="S23" s="29"/>
      <c r="T23" s="35"/>
      <c r="U23" s="29"/>
      <c r="V23" s="34"/>
      <c r="W23" s="29"/>
      <c r="X23" s="26"/>
      <c r="Y23" s="29"/>
      <c r="Z23" s="35"/>
      <c r="AA23" s="29"/>
      <c r="AB23" s="34"/>
      <c r="AC23" s="56">
        <v>1</v>
      </c>
      <c r="AD23" s="26"/>
      <c r="AE23" s="54">
        <v>1</v>
      </c>
      <c r="AF23" s="54">
        <v>1</v>
      </c>
      <c r="AG23" s="29"/>
      <c r="AH23" s="28">
        <v>2</v>
      </c>
      <c r="AI23" s="56">
        <v>2</v>
      </c>
      <c r="AJ23" s="26"/>
      <c r="AK23" s="56">
        <v>1</v>
      </c>
      <c r="AL23" s="35"/>
      <c r="AM23" s="29"/>
      <c r="AN23" s="34"/>
      <c r="AO23" s="29"/>
      <c r="AP23" s="26"/>
      <c r="AQ23" s="29"/>
      <c r="AR23" s="35"/>
      <c r="AS23" s="29"/>
      <c r="AT23" s="34"/>
      <c r="AU23" s="29"/>
      <c r="AV23" s="26"/>
      <c r="AW23" s="29"/>
      <c r="AX23" s="35"/>
      <c r="AY23" s="29"/>
      <c r="AZ23" s="34"/>
      <c r="BA23" s="29"/>
      <c r="BB23" s="26"/>
      <c r="BC23" s="29"/>
      <c r="BD23" s="35"/>
      <c r="BE23" s="29"/>
      <c r="BF23" s="34"/>
      <c r="BG23" s="29"/>
      <c r="BH23" s="26"/>
      <c r="BI23" s="29"/>
      <c r="BJ23" s="35"/>
      <c r="BK23" s="29"/>
      <c r="BL23" s="34"/>
      <c r="BM23" s="29"/>
      <c r="BN23" s="26"/>
      <c r="BO23" s="29"/>
      <c r="BP23" s="35"/>
      <c r="BQ23" s="31"/>
      <c r="BR23" s="34"/>
      <c r="BS23" s="29"/>
      <c r="BT23" s="26"/>
      <c r="BU23" s="29"/>
      <c r="BV23" s="35"/>
      <c r="BW23" s="31"/>
      <c r="BX23" s="34"/>
      <c r="BY23" s="29"/>
      <c r="BZ23" s="26"/>
      <c r="CA23" s="29"/>
      <c r="CB23" s="35"/>
      <c r="CC23" s="31"/>
      <c r="CD23" s="34"/>
      <c r="CE23" s="29"/>
      <c r="CF23" s="26"/>
      <c r="CG23" s="29"/>
      <c r="CH23" s="35"/>
      <c r="CI23" s="29"/>
      <c r="CJ23" s="34"/>
      <c r="CK23" s="29"/>
      <c r="CL23" s="26"/>
      <c r="CM23" s="29"/>
      <c r="CN23" s="35"/>
      <c r="CO23" s="31"/>
      <c r="CP23" s="34"/>
      <c r="CQ23" s="29"/>
      <c r="CR23" s="26"/>
      <c r="CS23" s="29"/>
      <c r="CT23" s="35"/>
      <c r="CU23" s="31"/>
      <c r="CV23" s="34"/>
      <c r="CW23" s="29"/>
      <c r="CX23" s="26"/>
      <c r="CY23" s="29"/>
      <c r="CZ23" s="35"/>
      <c r="DA23" s="31"/>
      <c r="DB23" s="34"/>
      <c r="DC23" s="29"/>
      <c r="DD23" s="26"/>
      <c r="DE23" s="29"/>
      <c r="DF23" s="35"/>
    </row>
    <row r="24" spans="1:110" s="32" customFormat="1">
      <c r="A24" s="72" t="s">
        <v>29</v>
      </c>
      <c r="B24" s="72"/>
      <c r="C24" s="68"/>
      <c r="D24" s="99" t="s">
        <v>21</v>
      </c>
      <c r="E24" s="99" t="s">
        <v>34</v>
      </c>
      <c r="F24" s="22" cm="1">
        <f t="array" ref="F24">SommeSiCouleurPlage($J24:$DF24,getCouleur($G$36))+SommeSiCouleurPlage($J24:$DF24,getCouleur($P$36))</f>
        <v>2</v>
      </c>
      <c r="G24" s="22" cm="1">
        <f t="array" ref="G24">SommeSiCouleurPlage($J24:$DF24,getCouleur($J$36))+SommeSiCouleurPlage($J24:$DF24,getCouleur($P$36))</f>
        <v>1</v>
      </c>
      <c r="H24" s="22">
        <f>F24-G24</f>
        <v>1</v>
      </c>
      <c r="I24" s="23"/>
      <c r="J24" s="24"/>
      <c r="K24" s="25"/>
      <c r="L24" s="26"/>
      <c r="M24" s="25"/>
      <c r="N24" s="30"/>
      <c r="O24" s="29"/>
      <c r="P24" s="24"/>
      <c r="Q24" s="25"/>
      <c r="R24" s="26"/>
      <c r="S24" s="25"/>
      <c r="T24" s="30"/>
      <c r="U24" s="29"/>
      <c r="V24" s="24"/>
      <c r="W24" s="25"/>
      <c r="X24" s="26"/>
      <c r="Y24" s="25"/>
      <c r="Z24" s="30"/>
      <c r="AA24" s="29"/>
      <c r="AB24" s="24"/>
      <c r="AC24" s="25"/>
      <c r="AD24" s="26"/>
      <c r="AE24" s="25"/>
      <c r="AF24" s="30"/>
      <c r="AG24" s="29"/>
      <c r="AH24" s="24"/>
      <c r="AI24" s="28">
        <v>2</v>
      </c>
      <c r="AJ24" s="26"/>
      <c r="AK24" s="56">
        <v>1</v>
      </c>
      <c r="AL24" s="30"/>
      <c r="AM24" s="29"/>
      <c r="AN24" s="24"/>
      <c r="AO24" s="25"/>
      <c r="AP24" s="26"/>
      <c r="AQ24" s="25"/>
      <c r="AR24" s="30"/>
      <c r="AS24" s="29"/>
      <c r="AT24" s="24"/>
      <c r="AU24" s="25"/>
      <c r="AV24" s="26"/>
      <c r="AW24" s="25"/>
      <c r="AX24" s="30"/>
      <c r="AY24" s="29"/>
      <c r="AZ24" s="24"/>
      <c r="BA24" s="25"/>
      <c r="BB24" s="26"/>
      <c r="BC24" s="25"/>
      <c r="BD24" s="30"/>
      <c r="BE24" s="29"/>
      <c r="BF24" s="24"/>
      <c r="BG24" s="25"/>
      <c r="BH24" s="26"/>
      <c r="BI24" s="25"/>
      <c r="BJ24" s="30"/>
      <c r="BK24" s="29"/>
      <c r="BL24" s="24"/>
      <c r="BM24" s="25"/>
      <c r="BN24" s="26"/>
      <c r="BO24" s="25"/>
      <c r="BP24" s="30"/>
      <c r="BQ24" s="31"/>
      <c r="BR24" s="24"/>
      <c r="BS24" s="25"/>
      <c r="BT24" s="26"/>
      <c r="BU24" s="25"/>
      <c r="BV24" s="30"/>
      <c r="BW24" s="31"/>
      <c r="BX24" s="24"/>
      <c r="BY24" s="25"/>
      <c r="BZ24" s="26"/>
      <c r="CA24" s="25"/>
      <c r="CB24" s="30"/>
      <c r="CC24" s="31"/>
      <c r="CD24" s="24"/>
      <c r="CE24" s="25"/>
      <c r="CF24" s="26"/>
      <c r="CG24" s="25"/>
      <c r="CH24" s="30"/>
      <c r="CI24" s="29"/>
      <c r="CJ24" s="24"/>
      <c r="CK24" s="25"/>
      <c r="CL24" s="26"/>
      <c r="CM24" s="25"/>
      <c r="CN24" s="30"/>
      <c r="CO24" s="31"/>
      <c r="CP24" s="24"/>
      <c r="CQ24" s="25"/>
      <c r="CR24" s="26"/>
      <c r="CS24" s="25"/>
      <c r="CT24" s="30"/>
      <c r="CU24" s="31"/>
      <c r="CV24" s="24"/>
      <c r="CW24" s="25"/>
      <c r="CX24" s="26"/>
      <c r="CY24" s="25"/>
      <c r="CZ24" s="30"/>
      <c r="DA24" s="31"/>
      <c r="DB24" s="24"/>
      <c r="DC24" s="25"/>
      <c r="DD24" s="26"/>
      <c r="DE24" s="25"/>
      <c r="DF24" s="30"/>
    </row>
    <row r="25" spans="1:110" s="32" customFormat="1">
      <c r="A25" s="72" t="s">
        <v>33</v>
      </c>
      <c r="B25" s="72"/>
      <c r="C25" s="68"/>
      <c r="D25" s="101" t="s">
        <v>21</v>
      </c>
      <c r="E25" s="101" t="s">
        <v>35</v>
      </c>
      <c r="F25" s="57">
        <v>2</v>
      </c>
      <c r="G25" s="33" cm="1">
        <f t="array" ref="G25">SommeSiCouleurPlage($J25:$DF25,getCouleur($J$36))+SommeSiCouleurPlage($J25:$DF25,getCouleur($P$36))</f>
        <v>1</v>
      </c>
      <c r="H25" s="33">
        <f t="shared" ref="H25" si="2">F25-G25</f>
        <v>1</v>
      </c>
      <c r="I25" s="23"/>
      <c r="J25" s="34"/>
      <c r="K25" s="29"/>
      <c r="L25" s="26"/>
      <c r="M25" s="29"/>
      <c r="N25" s="35"/>
      <c r="O25" s="29"/>
      <c r="P25" s="34"/>
      <c r="Q25" s="29"/>
      <c r="R25" s="26"/>
      <c r="S25" s="29"/>
      <c r="T25" s="35"/>
      <c r="U25" s="29"/>
      <c r="V25" s="34"/>
      <c r="W25" s="29"/>
      <c r="X25" s="26"/>
      <c r="Y25" s="29"/>
      <c r="Z25" s="35"/>
      <c r="AA25" s="29"/>
      <c r="AB25" s="34"/>
      <c r="AC25" s="29"/>
      <c r="AD25" s="26"/>
      <c r="AE25" s="29"/>
      <c r="AF25" s="35"/>
      <c r="AG25" s="29"/>
      <c r="AH25" s="34"/>
      <c r="AI25" s="29"/>
      <c r="AJ25" s="26"/>
      <c r="AK25" s="27">
        <v>2</v>
      </c>
      <c r="AL25" s="56">
        <v>1</v>
      </c>
      <c r="AM25" s="29"/>
      <c r="AN25" s="34"/>
      <c r="AO25" s="29"/>
      <c r="AP25" s="26"/>
      <c r="AQ25" s="29"/>
      <c r="AR25" s="35">
        <v>1</v>
      </c>
      <c r="AS25" s="29"/>
      <c r="AT25" s="34"/>
      <c r="AU25" s="29"/>
      <c r="AV25" s="26"/>
      <c r="AW25" s="29"/>
      <c r="AX25" s="35"/>
      <c r="AY25" s="29"/>
      <c r="AZ25" s="34"/>
      <c r="BA25" s="29"/>
      <c r="BB25" s="26"/>
      <c r="BC25" s="29"/>
      <c r="BD25" s="35"/>
      <c r="BE25" s="29"/>
      <c r="BF25" s="34"/>
      <c r="BG25" s="29"/>
      <c r="BH25" s="26"/>
      <c r="BI25" s="29"/>
      <c r="BJ25" s="35"/>
      <c r="BK25" s="29"/>
      <c r="BL25" s="34"/>
      <c r="BM25" s="29"/>
      <c r="BN25" s="26"/>
      <c r="BO25" s="29"/>
      <c r="BP25" s="35"/>
      <c r="BQ25" s="31"/>
      <c r="BR25" s="34"/>
      <c r="BS25" s="29"/>
      <c r="BT25" s="26"/>
      <c r="BU25" s="29"/>
      <c r="BV25" s="35"/>
      <c r="BW25" s="31"/>
      <c r="BX25" s="34"/>
      <c r="BY25" s="29"/>
      <c r="BZ25" s="26"/>
      <c r="CA25" s="29"/>
      <c r="CB25" s="35"/>
      <c r="CC25" s="31"/>
      <c r="CD25" s="34"/>
      <c r="CE25" s="29"/>
      <c r="CF25" s="26"/>
      <c r="CG25" s="29"/>
      <c r="CH25" s="35"/>
      <c r="CI25" s="29"/>
      <c r="CJ25" s="34"/>
      <c r="CK25" s="29"/>
      <c r="CL25" s="26"/>
      <c r="CM25" s="29"/>
      <c r="CN25" s="35"/>
      <c r="CO25" s="31"/>
      <c r="CP25" s="34"/>
      <c r="CQ25" s="29"/>
      <c r="CR25" s="26"/>
      <c r="CS25" s="29"/>
      <c r="CT25" s="35"/>
      <c r="CU25" s="31"/>
      <c r="CV25" s="34"/>
      <c r="CW25" s="29"/>
      <c r="CX25" s="26"/>
      <c r="CY25" s="29"/>
      <c r="CZ25" s="35"/>
      <c r="DA25" s="31"/>
      <c r="DB25" s="34"/>
      <c r="DC25" s="29"/>
      <c r="DD25" s="26"/>
      <c r="DE25" s="29"/>
      <c r="DF25" s="35"/>
    </row>
    <row r="26" spans="1:110" s="32" customFormat="1" ht="15.75">
      <c r="A26" s="67" t="s">
        <v>37</v>
      </c>
      <c r="B26" s="67"/>
      <c r="C26" s="102"/>
      <c r="D26" s="59" t="s">
        <v>42</v>
      </c>
      <c r="E26" s="59"/>
      <c r="F26" s="5">
        <f>SUM(F27:F30)</f>
        <v>12</v>
      </c>
      <c r="G26" s="5">
        <f>SUM(G27:G30)</f>
        <v>10</v>
      </c>
      <c r="H26" s="6">
        <f>SUM(H27:H30)</f>
        <v>2</v>
      </c>
      <c r="I26" s="11"/>
      <c r="J26" s="36"/>
      <c r="K26" s="37"/>
      <c r="L26" s="37"/>
      <c r="M26" s="37"/>
      <c r="N26" s="38"/>
      <c r="O26" s="29"/>
      <c r="P26" s="36"/>
      <c r="Q26" s="37"/>
      <c r="R26" s="37"/>
      <c r="S26" s="37"/>
      <c r="T26" s="38"/>
      <c r="U26" s="29"/>
      <c r="V26" s="36"/>
      <c r="W26" s="37"/>
      <c r="X26" s="37"/>
      <c r="Y26" s="37"/>
      <c r="Z26" s="38"/>
      <c r="AA26" s="29"/>
      <c r="AB26" s="36"/>
      <c r="AC26" s="37"/>
      <c r="AD26" s="37"/>
      <c r="AE26" s="37"/>
      <c r="AF26" s="38"/>
      <c r="AG26" s="29"/>
      <c r="AH26" s="36"/>
      <c r="AI26" s="37"/>
      <c r="AJ26" s="37"/>
      <c r="AK26" s="37"/>
      <c r="AL26" s="38"/>
      <c r="AM26" s="29"/>
      <c r="AN26" s="36"/>
      <c r="AO26" s="53"/>
      <c r="AP26" s="37"/>
      <c r="AQ26" s="37"/>
      <c r="AR26" s="38"/>
      <c r="AS26" s="29"/>
      <c r="AT26" s="36"/>
      <c r="AU26" s="37"/>
      <c r="AV26" s="37"/>
      <c r="AW26" s="37"/>
      <c r="AX26" s="38"/>
      <c r="AY26" s="29"/>
      <c r="AZ26" s="36"/>
      <c r="BA26" s="37"/>
      <c r="BB26" s="37"/>
      <c r="BC26" s="37"/>
      <c r="BD26" s="38"/>
      <c r="BE26" s="29"/>
      <c r="BF26" s="36"/>
      <c r="BG26" s="37"/>
      <c r="BH26" s="37"/>
      <c r="BI26" s="37"/>
      <c r="BJ26" s="38"/>
      <c r="BK26" s="29"/>
      <c r="BL26" s="36"/>
      <c r="BM26" s="37"/>
      <c r="BN26" s="37"/>
      <c r="BO26" s="37"/>
      <c r="BP26" s="38"/>
      <c r="BQ26" s="31"/>
      <c r="BR26" s="36"/>
      <c r="BS26" s="37"/>
      <c r="BT26" s="37"/>
      <c r="BU26" s="37"/>
      <c r="BV26" s="38"/>
      <c r="BW26" s="31"/>
      <c r="BX26" s="36"/>
      <c r="BY26" s="37"/>
      <c r="BZ26" s="37"/>
      <c r="CA26" s="37"/>
      <c r="CB26" s="38"/>
      <c r="CC26" s="31"/>
      <c r="CD26" s="36"/>
      <c r="CE26" s="37"/>
      <c r="CF26" s="37"/>
      <c r="CG26" s="37"/>
      <c r="CH26" s="38"/>
      <c r="CI26" s="29"/>
      <c r="CJ26" s="36"/>
      <c r="CK26" s="37"/>
      <c r="CL26" s="37"/>
      <c r="CM26" s="37"/>
      <c r="CN26" s="38"/>
      <c r="CO26" s="31"/>
      <c r="CP26" s="36"/>
      <c r="CQ26" s="37"/>
      <c r="CR26" s="37"/>
      <c r="CS26" s="37"/>
      <c r="CT26" s="38"/>
      <c r="CU26" s="31"/>
      <c r="CV26" s="36"/>
      <c r="CW26" s="37"/>
      <c r="CX26" s="37"/>
      <c r="CY26" s="37"/>
      <c r="CZ26" s="38"/>
      <c r="DA26" s="31"/>
      <c r="DB26" s="36"/>
      <c r="DC26" s="37"/>
      <c r="DD26" s="37"/>
      <c r="DE26" s="37"/>
      <c r="DF26" s="38"/>
    </row>
    <row r="27" spans="1:110" s="32" customFormat="1">
      <c r="A27" s="72" t="s">
        <v>38</v>
      </c>
      <c r="B27" s="72"/>
      <c r="C27" s="68"/>
      <c r="D27" s="100" t="s">
        <v>24</v>
      </c>
      <c r="E27" s="100" t="s">
        <v>35</v>
      </c>
      <c r="F27" s="33" cm="1">
        <f t="array" ref="F27">SommeSiCouleurPlage($J27:$DF27,getCouleur($G$36))+SommeSiCouleurPlage($J27:$DF27,getCouleur($P$36))</f>
        <v>1</v>
      </c>
      <c r="G27" s="33" cm="1">
        <f t="array" ref="G27">SommeSiCouleurPlage($J27:$DF27,getCouleur($J$36))+SommeSiCouleurPlage($J27:$DF27,getCouleur($P$36))</f>
        <v>1</v>
      </c>
      <c r="H27" s="33">
        <f t="shared" ref="H27" si="3">F27-G27</f>
        <v>0</v>
      </c>
      <c r="I27" s="23"/>
      <c r="J27" s="34"/>
      <c r="K27" s="29"/>
      <c r="L27" s="26"/>
      <c r="M27" s="29"/>
      <c r="N27" s="35"/>
      <c r="O27" s="29"/>
      <c r="P27" s="34"/>
      <c r="Q27" s="29"/>
      <c r="R27" s="26"/>
      <c r="S27" s="29"/>
      <c r="T27" s="35"/>
      <c r="U27" s="29"/>
      <c r="V27" s="40"/>
      <c r="W27" s="29"/>
      <c r="X27" s="26"/>
      <c r="Y27" s="29"/>
      <c r="Z27" s="35"/>
      <c r="AA27" s="29"/>
      <c r="AB27" s="34"/>
      <c r="AC27" s="29"/>
      <c r="AD27" s="26"/>
      <c r="AE27" s="29"/>
      <c r="AF27" s="35"/>
      <c r="AG27" s="29"/>
      <c r="AH27" s="34"/>
      <c r="AI27" s="29"/>
      <c r="AJ27" s="26"/>
      <c r="AK27" s="29"/>
      <c r="AL27" s="35"/>
      <c r="AM27" s="29"/>
      <c r="AN27" s="54">
        <v>1</v>
      </c>
      <c r="AO27" s="29"/>
      <c r="AP27" s="26"/>
      <c r="AQ27" s="29"/>
      <c r="AR27" s="35"/>
      <c r="AS27" s="29"/>
      <c r="AT27" s="34"/>
      <c r="AU27" s="29"/>
      <c r="AV27" s="26"/>
      <c r="AX27" s="35"/>
      <c r="AY27" s="29"/>
      <c r="AZ27" s="34"/>
      <c r="BA27" s="29"/>
      <c r="BB27" s="26"/>
      <c r="BD27" s="35"/>
      <c r="BE27" s="29"/>
      <c r="BF27" s="34"/>
      <c r="BG27" s="29"/>
      <c r="BH27" s="26"/>
      <c r="BI27" s="29"/>
      <c r="BJ27" s="35"/>
      <c r="BK27" s="29"/>
      <c r="BL27" s="34"/>
      <c r="BM27" s="29"/>
      <c r="BN27" s="26"/>
      <c r="BO27" s="29"/>
      <c r="BP27" s="35"/>
      <c r="BQ27" s="31"/>
      <c r="BR27" s="34"/>
      <c r="BS27" s="29"/>
      <c r="BT27" s="26"/>
      <c r="BU27" s="29"/>
      <c r="BV27" s="35"/>
      <c r="BW27" s="31"/>
      <c r="BX27" s="34"/>
      <c r="BY27" s="29"/>
      <c r="BZ27" s="26"/>
      <c r="CA27" s="29"/>
      <c r="CB27" s="35"/>
      <c r="CC27" s="31"/>
      <c r="CD27" s="34"/>
      <c r="CE27" s="29"/>
      <c r="CF27" s="26"/>
      <c r="CG27" s="29"/>
      <c r="CH27" s="35"/>
      <c r="CI27" s="29"/>
      <c r="CJ27" s="34"/>
      <c r="CK27" s="29"/>
      <c r="CL27" s="26"/>
      <c r="CM27" s="29"/>
      <c r="CN27" s="35"/>
      <c r="CO27" s="31"/>
      <c r="CP27" s="34"/>
      <c r="CQ27" s="29"/>
      <c r="CR27" s="26"/>
      <c r="CS27" s="29"/>
      <c r="CT27" s="35"/>
      <c r="CU27" s="31"/>
      <c r="CV27" s="34"/>
      <c r="CW27" s="29"/>
      <c r="CX27" s="26"/>
      <c r="CY27" s="29"/>
      <c r="CZ27" s="35"/>
      <c r="DA27" s="31"/>
      <c r="DB27" s="34"/>
      <c r="DC27" s="29"/>
      <c r="DD27" s="26"/>
      <c r="DE27" s="29"/>
      <c r="DF27" s="35"/>
    </row>
    <row r="28" spans="1:110" s="32" customFormat="1">
      <c r="A28" s="71" t="s">
        <v>39</v>
      </c>
      <c r="B28" s="71"/>
      <c r="C28" s="103"/>
      <c r="D28" s="99" t="s">
        <v>20</v>
      </c>
      <c r="E28" s="99" t="s">
        <v>34</v>
      </c>
      <c r="F28" s="22" cm="1">
        <f t="array" ref="F28">SommeSiCouleurPlage($J28:$DF28,getCouleur($G$36))+SommeSiCouleurPlage($J28:$DF28,getCouleur($P$36))</f>
        <v>3</v>
      </c>
      <c r="G28" s="22" cm="1">
        <f t="array" ref="G28">SommeSiCouleurPlage($J28:$DF28,getCouleur($J$36))+SommeSiCouleurPlage($J28:$DF28,getCouleur($P$36))</f>
        <v>1</v>
      </c>
      <c r="H28" s="22">
        <f t="shared" ref="H28" si="4">F28-G28</f>
        <v>2</v>
      </c>
      <c r="I28" s="23"/>
      <c r="J28" s="24"/>
      <c r="K28" s="25"/>
      <c r="L28" s="26"/>
      <c r="M28" s="25"/>
      <c r="N28" s="30"/>
      <c r="O28" s="29"/>
      <c r="P28" s="24"/>
      <c r="Q28" s="25"/>
      <c r="R28" s="26"/>
      <c r="S28" s="25"/>
      <c r="T28" s="30"/>
      <c r="U28" s="29"/>
      <c r="V28" s="24"/>
      <c r="W28" s="25"/>
      <c r="X28" s="26"/>
      <c r="Y28" s="25"/>
      <c r="Z28" s="30"/>
      <c r="AA28" s="29"/>
      <c r="AB28" s="24"/>
      <c r="AC28" s="25"/>
      <c r="AD28" s="26"/>
      <c r="AE28" s="25"/>
      <c r="AF28" s="30"/>
      <c r="AG28" s="29"/>
      <c r="AH28" s="24"/>
      <c r="AI28" s="25"/>
      <c r="AJ28" s="26"/>
      <c r="AK28" s="25"/>
      <c r="AL28" s="30"/>
      <c r="AM28" s="29"/>
      <c r="AN28" s="24"/>
      <c r="AO28" s="48">
        <v>2</v>
      </c>
      <c r="AP28" s="47"/>
      <c r="AQ28" s="27">
        <v>1</v>
      </c>
      <c r="AR28" s="56">
        <v>1</v>
      </c>
      <c r="AS28" s="29"/>
      <c r="AT28" s="24"/>
      <c r="AU28" s="25"/>
      <c r="AV28" s="26"/>
      <c r="AW28" s="25"/>
      <c r="AX28" s="30"/>
      <c r="AY28" s="29"/>
      <c r="AZ28" s="24"/>
      <c r="BA28" s="25"/>
      <c r="BB28" s="26"/>
      <c r="BC28" s="25"/>
      <c r="BD28" s="30"/>
      <c r="BE28" s="29"/>
      <c r="BF28" s="24"/>
      <c r="BG28" s="25"/>
      <c r="BH28" s="26"/>
      <c r="BI28" s="25"/>
      <c r="BJ28" s="30"/>
      <c r="BK28" s="29"/>
      <c r="BL28" s="24"/>
      <c r="BM28" s="25"/>
      <c r="BN28" s="26"/>
      <c r="BO28" s="25"/>
      <c r="BP28" s="30"/>
      <c r="BQ28" s="31"/>
      <c r="BR28" s="24"/>
      <c r="BS28" s="25"/>
      <c r="BT28" s="26"/>
      <c r="BU28" s="25"/>
      <c r="BV28" s="30"/>
      <c r="BW28" s="31"/>
      <c r="BX28" s="24"/>
      <c r="BY28" s="25"/>
      <c r="BZ28" s="26"/>
      <c r="CA28" s="25"/>
      <c r="CB28" s="30"/>
      <c r="CC28" s="31"/>
      <c r="CD28" s="24"/>
      <c r="CE28" s="25"/>
      <c r="CF28" s="26"/>
      <c r="CG28" s="25"/>
      <c r="CH28" s="30"/>
      <c r="CI28" s="29"/>
      <c r="CJ28" s="24"/>
      <c r="CK28" s="25"/>
      <c r="CL28" s="26"/>
      <c r="CM28" s="25"/>
      <c r="CN28" s="30"/>
      <c r="CO28" s="31"/>
      <c r="CP28" s="24"/>
      <c r="CQ28" s="25"/>
      <c r="CR28" s="26"/>
      <c r="CS28" s="25"/>
      <c r="CT28" s="30"/>
      <c r="CU28" s="31"/>
      <c r="CV28" s="24"/>
      <c r="CW28" s="25"/>
      <c r="CX28" s="26"/>
      <c r="CY28" s="25"/>
      <c r="CZ28" s="30"/>
      <c r="DA28" s="31"/>
      <c r="DB28" s="24"/>
      <c r="DC28" s="25"/>
      <c r="DD28" s="26"/>
      <c r="DE28" s="25"/>
      <c r="DF28" s="30"/>
    </row>
    <row r="29" spans="1:110" s="32" customFormat="1">
      <c r="A29" s="72" t="s">
        <v>40</v>
      </c>
      <c r="B29" s="72"/>
      <c r="C29" s="68"/>
      <c r="D29" s="100" t="s">
        <v>19</v>
      </c>
      <c r="E29" s="100" t="s">
        <v>34</v>
      </c>
      <c r="F29" s="33" cm="1">
        <f t="array" ref="F29">SommeSiCouleurPlage($J29:$DF29,getCouleur($G$36))+SommeSiCouleurPlage($J29:$DF29,getCouleur($P$36))</f>
        <v>4</v>
      </c>
      <c r="G29" s="33" cm="1">
        <f t="array" ref="G29">SommeSiCouleurPlage($J29:$DF29,getCouleur($J$36))+SommeSiCouleurPlage($J29:$DF29,getCouleur($P$36))</f>
        <v>6</v>
      </c>
      <c r="H29" s="33">
        <f t="shared" si="0"/>
        <v>-2</v>
      </c>
      <c r="I29" s="23"/>
      <c r="J29" s="34"/>
      <c r="K29" s="29"/>
      <c r="L29" s="26"/>
      <c r="M29" s="29"/>
      <c r="N29" s="35"/>
      <c r="O29" s="29"/>
      <c r="P29" s="34"/>
      <c r="Q29" s="29"/>
      <c r="R29" s="26"/>
      <c r="S29" s="29"/>
      <c r="T29" s="35"/>
      <c r="U29" s="29"/>
      <c r="V29" s="40"/>
      <c r="W29" s="29"/>
      <c r="X29" s="26"/>
      <c r="Y29" s="29"/>
      <c r="Z29" s="35"/>
      <c r="AA29" s="29"/>
      <c r="AB29" s="34"/>
      <c r="AC29" s="29"/>
      <c r="AD29" s="26"/>
      <c r="AE29" s="29"/>
      <c r="AF29" s="35"/>
      <c r="AG29" s="29"/>
      <c r="AH29" s="34"/>
      <c r="AI29" s="29"/>
      <c r="AJ29" s="26"/>
      <c r="AK29" s="29"/>
      <c r="AL29" s="35"/>
      <c r="AM29" s="29"/>
      <c r="AN29" s="34"/>
      <c r="AO29" s="29"/>
      <c r="AP29" s="26"/>
      <c r="AQ29" s="29"/>
      <c r="AR29" s="35"/>
      <c r="AS29" s="29"/>
      <c r="AT29" s="27">
        <v>2</v>
      </c>
      <c r="AU29" s="28">
        <v>2</v>
      </c>
      <c r="AV29" s="26"/>
      <c r="AW29" s="56">
        <v>2</v>
      </c>
      <c r="AX29" s="35"/>
      <c r="AY29" s="29"/>
      <c r="AZ29" s="34"/>
      <c r="BA29" s="56">
        <v>2</v>
      </c>
      <c r="BB29" s="26"/>
      <c r="BC29" s="56">
        <v>2</v>
      </c>
      <c r="BD29" s="35"/>
      <c r="BE29" s="29"/>
      <c r="BF29" s="34"/>
      <c r="BG29" s="29"/>
      <c r="BH29" s="26"/>
      <c r="BI29" s="29"/>
      <c r="BJ29" s="35"/>
      <c r="BK29" s="29"/>
      <c r="BL29" s="34"/>
      <c r="BM29" s="29"/>
      <c r="BN29" s="26"/>
      <c r="BO29" s="29"/>
      <c r="BP29" s="35"/>
      <c r="BQ29" s="31"/>
      <c r="BR29" s="34"/>
      <c r="BS29" s="29"/>
      <c r="BT29" s="26"/>
      <c r="BU29" s="29"/>
      <c r="BV29" s="35"/>
      <c r="BW29" s="31"/>
      <c r="BX29" s="34"/>
      <c r="BY29" s="29"/>
      <c r="BZ29" s="26"/>
      <c r="CA29" s="29"/>
      <c r="CB29" s="35"/>
      <c r="CC29" s="31"/>
      <c r="CD29" s="34"/>
      <c r="CE29" s="29"/>
      <c r="CF29" s="26"/>
      <c r="CG29" s="29"/>
      <c r="CH29" s="35"/>
      <c r="CI29" s="29"/>
      <c r="CJ29" s="34"/>
      <c r="CK29" s="29"/>
      <c r="CL29" s="26"/>
      <c r="CM29" s="29"/>
      <c r="CN29" s="35"/>
      <c r="CO29" s="31"/>
      <c r="CP29" s="34"/>
      <c r="CQ29" s="29"/>
      <c r="CR29" s="26"/>
      <c r="CS29" s="29"/>
      <c r="CT29" s="35"/>
      <c r="CU29" s="31"/>
      <c r="CV29" s="34"/>
      <c r="CW29" s="29"/>
      <c r="CX29" s="26"/>
      <c r="CY29" s="29"/>
      <c r="CZ29" s="35"/>
      <c r="DA29" s="31"/>
      <c r="DB29" s="34"/>
      <c r="DC29" s="29"/>
      <c r="DD29" s="26"/>
      <c r="DE29" s="29"/>
      <c r="DF29" s="35"/>
    </row>
    <row r="30" spans="1:110" s="32" customFormat="1">
      <c r="A30" s="72" t="s">
        <v>41</v>
      </c>
      <c r="B30" s="72"/>
      <c r="C30" s="68"/>
      <c r="D30" s="99" t="s">
        <v>21</v>
      </c>
      <c r="E30" s="99" t="s">
        <v>34</v>
      </c>
      <c r="F30" s="22" cm="1">
        <f t="array" ref="F30">SommeSiCouleurPlage($J30:$DF30,getCouleur($G$36))+SommeSiCouleurPlage($J30:$DF30,getCouleur($P$36))</f>
        <v>4</v>
      </c>
      <c r="G30" s="22" cm="1">
        <f t="array" ref="G30">SommeSiCouleurPlage($J30:$DF30,getCouleur($J$36))+SommeSiCouleurPlage($J30:$DF30,getCouleur($P$36))</f>
        <v>2</v>
      </c>
      <c r="H30" s="22">
        <f t="shared" si="0"/>
        <v>2</v>
      </c>
      <c r="I30" s="23"/>
      <c r="J30" s="24"/>
      <c r="K30" s="25"/>
      <c r="L30" s="26"/>
      <c r="M30" s="25"/>
      <c r="N30" s="30"/>
      <c r="O30" s="29"/>
      <c r="P30" s="24"/>
      <c r="Q30" s="41"/>
      <c r="R30" s="26"/>
      <c r="S30" s="25"/>
      <c r="T30" s="30"/>
      <c r="U30" s="29"/>
      <c r="V30" s="24"/>
      <c r="W30" s="25"/>
      <c r="X30" s="26"/>
      <c r="Y30" s="25"/>
      <c r="Z30" s="30"/>
      <c r="AA30" s="29"/>
      <c r="AB30" s="24"/>
      <c r="AC30" s="25"/>
      <c r="AD30" s="26"/>
      <c r="AE30" s="42"/>
      <c r="AF30" s="30"/>
      <c r="AG30" s="29"/>
      <c r="AH30" s="24"/>
      <c r="AI30" s="25"/>
      <c r="AJ30" s="26"/>
      <c r="AK30" s="25"/>
      <c r="AL30" s="30"/>
      <c r="AM30" s="29"/>
      <c r="AN30" s="24"/>
      <c r="AO30" s="25"/>
      <c r="AP30" s="26"/>
      <c r="AQ30" s="25"/>
      <c r="AR30" s="30"/>
      <c r="AS30" s="29"/>
      <c r="AT30" s="24"/>
      <c r="AU30" s="25"/>
      <c r="AV30" s="26"/>
      <c r="AW30" s="28">
        <v>2</v>
      </c>
      <c r="AX30" s="28">
        <v>1</v>
      </c>
      <c r="AY30" s="29"/>
      <c r="AZ30" s="27">
        <v>1</v>
      </c>
      <c r="BA30" s="25"/>
      <c r="BB30" s="26"/>
      <c r="BC30" s="25"/>
      <c r="BD30" s="30"/>
      <c r="BE30" s="29"/>
      <c r="BF30" s="56">
        <v>2</v>
      </c>
      <c r="BG30" s="25"/>
      <c r="BH30" s="26"/>
      <c r="BI30" s="25"/>
      <c r="BJ30" s="30"/>
      <c r="BK30" s="29"/>
      <c r="BL30" s="24"/>
      <c r="BM30" s="25"/>
      <c r="BN30" s="26"/>
      <c r="BO30" s="25"/>
      <c r="BP30" s="30"/>
      <c r="BQ30" s="31"/>
      <c r="BR30" s="24"/>
      <c r="BS30" s="25"/>
      <c r="BT30" s="26"/>
      <c r="BU30" s="25"/>
      <c r="BV30" s="30"/>
      <c r="BW30" s="31"/>
      <c r="BX30" s="24"/>
      <c r="BY30" s="25"/>
      <c r="BZ30" s="26"/>
      <c r="CA30" s="25"/>
      <c r="CB30" s="30"/>
      <c r="CC30" s="31"/>
      <c r="CD30" s="24"/>
      <c r="CE30" s="25"/>
      <c r="CF30" s="26"/>
      <c r="CG30" s="25"/>
      <c r="CH30" s="30"/>
      <c r="CI30" s="29"/>
      <c r="CJ30" s="24"/>
      <c r="CK30" s="25"/>
      <c r="CL30" s="26"/>
      <c r="CM30" s="25"/>
      <c r="CN30" s="30"/>
      <c r="CO30" s="31"/>
      <c r="CP30" s="24"/>
      <c r="CQ30" s="25"/>
      <c r="CR30" s="26"/>
      <c r="CS30" s="25"/>
      <c r="CT30" s="30"/>
      <c r="CU30" s="31"/>
      <c r="CV30" s="24"/>
      <c r="CW30" s="25"/>
      <c r="CX30" s="26"/>
      <c r="CY30" s="25"/>
      <c r="CZ30" s="30"/>
      <c r="DA30" s="31"/>
      <c r="DB30" s="24"/>
      <c r="DC30" s="25"/>
      <c r="DD30" s="26"/>
      <c r="DE30" s="25"/>
      <c r="DF30" s="30"/>
    </row>
    <row r="31" spans="1:110" s="32" customFormat="1" ht="15.75">
      <c r="A31" s="67" t="s">
        <v>31</v>
      </c>
      <c r="B31" s="67"/>
      <c r="C31" s="102"/>
      <c r="D31" s="59" t="s">
        <v>42</v>
      </c>
      <c r="E31" s="59"/>
      <c r="F31" s="5">
        <f>SUM(F32:F32)</f>
        <v>3</v>
      </c>
      <c r="G31" s="5">
        <f>SUM(G32:G32)</f>
        <v>3</v>
      </c>
      <c r="H31" s="6">
        <f>SUM(H32:H32)</f>
        <v>0</v>
      </c>
      <c r="I31" s="11"/>
      <c r="J31" s="36"/>
      <c r="K31" s="37"/>
      <c r="L31" s="37"/>
      <c r="M31" s="37"/>
      <c r="N31" s="38"/>
      <c r="O31" s="29"/>
      <c r="P31" s="36"/>
      <c r="Q31" s="37"/>
      <c r="R31" s="37"/>
      <c r="S31" s="37"/>
      <c r="T31" s="38"/>
      <c r="U31" s="29"/>
      <c r="V31" s="36"/>
      <c r="W31" s="37"/>
      <c r="X31" s="37"/>
      <c r="Y31" s="37"/>
      <c r="Z31" s="38"/>
      <c r="AA31" s="29"/>
      <c r="AB31" s="36"/>
      <c r="AC31" s="37"/>
      <c r="AD31" s="37"/>
      <c r="AE31" s="37"/>
      <c r="AF31" s="38"/>
      <c r="AG31" s="29"/>
      <c r="AH31" s="36"/>
      <c r="AI31" s="37"/>
      <c r="AJ31" s="37"/>
      <c r="AK31" s="37"/>
      <c r="AL31" s="38"/>
      <c r="AM31" s="29"/>
      <c r="AN31" s="36"/>
      <c r="AO31" s="37"/>
      <c r="AP31" s="37"/>
      <c r="AQ31" s="37"/>
      <c r="AR31" s="38"/>
      <c r="AS31" s="29"/>
      <c r="AT31" s="36"/>
      <c r="AU31" s="37"/>
      <c r="AV31" s="37"/>
      <c r="AW31" s="37"/>
      <c r="AX31" s="38"/>
      <c r="AY31" s="29"/>
      <c r="AZ31" s="36"/>
      <c r="BA31" s="37"/>
      <c r="BB31" s="37"/>
      <c r="BC31" s="37"/>
      <c r="BD31" s="38"/>
      <c r="BE31" s="29"/>
      <c r="BF31" s="36"/>
      <c r="BG31" s="37"/>
      <c r="BH31" s="37"/>
      <c r="BI31" s="37"/>
      <c r="BJ31" s="38"/>
      <c r="BK31" s="29"/>
      <c r="BL31" s="36"/>
      <c r="BM31" s="37"/>
      <c r="BN31" s="37"/>
      <c r="BO31" s="37"/>
      <c r="BP31" s="38"/>
      <c r="BQ31" s="31"/>
      <c r="BR31" s="36"/>
      <c r="BS31" s="37"/>
      <c r="BT31" s="37"/>
      <c r="BU31" s="37"/>
      <c r="BV31" s="38"/>
      <c r="BW31" s="31"/>
      <c r="BX31" s="36"/>
      <c r="BY31" s="37"/>
      <c r="BZ31" s="37"/>
      <c r="CA31" s="37"/>
      <c r="CB31" s="38"/>
      <c r="CC31" s="31"/>
      <c r="CD31" s="36"/>
      <c r="CE31" s="37"/>
      <c r="CF31" s="37"/>
      <c r="CG31" s="37"/>
      <c r="CH31" s="38"/>
      <c r="CI31" s="29"/>
      <c r="CJ31" s="36"/>
      <c r="CK31" s="37"/>
      <c r="CL31" s="37"/>
      <c r="CM31" s="37"/>
      <c r="CN31" s="38"/>
      <c r="CO31" s="31"/>
      <c r="CP31" s="36"/>
      <c r="CQ31" s="37"/>
      <c r="CR31" s="37"/>
      <c r="CS31" s="37"/>
      <c r="CT31" s="38"/>
      <c r="CU31" s="31"/>
      <c r="CV31" s="36"/>
      <c r="CW31" s="37"/>
      <c r="CX31" s="37"/>
      <c r="CY31" s="37"/>
      <c r="CZ31" s="38"/>
      <c r="DA31" s="31"/>
      <c r="DB31" s="36"/>
      <c r="DC31" s="37"/>
      <c r="DD31" s="37"/>
      <c r="DE31" s="37"/>
      <c r="DF31" s="38"/>
    </row>
    <row r="32" spans="1:110" s="32" customFormat="1" ht="15" thickBot="1">
      <c r="A32" s="71" t="s">
        <v>32</v>
      </c>
      <c r="B32" s="71"/>
      <c r="C32" s="103"/>
      <c r="D32" s="58" t="s">
        <v>42</v>
      </c>
      <c r="E32" s="58" t="s">
        <v>34</v>
      </c>
      <c r="F32" s="22" cm="1">
        <f t="array" ref="F32">SommeSiCouleurPlage($J32:$DF32,getCouleur($G$36))+SommeSiCouleurPlage($J32:$DF32,getCouleur($P$36))</f>
        <v>3</v>
      </c>
      <c r="G32" s="22" cm="1">
        <f t="array" ref="G32">SommeSiCouleurPlage($J32:$DF32,getCouleur($J$36))+SommeSiCouleurPlage($J32:$DF32,getCouleur($P$36))</f>
        <v>3</v>
      </c>
      <c r="H32" s="22">
        <f t="shared" si="0"/>
        <v>0</v>
      </c>
      <c r="I32" s="23"/>
      <c r="J32" s="24"/>
      <c r="K32" s="25"/>
      <c r="L32" s="26"/>
      <c r="M32" s="25"/>
      <c r="N32" s="30"/>
      <c r="O32" s="29"/>
      <c r="P32" s="24"/>
      <c r="Q32" s="25"/>
      <c r="R32" s="26"/>
      <c r="S32" s="25"/>
      <c r="T32" s="30"/>
      <c r="U32" s="29"/>
      <c r="V32" s="24"/>
      <c r="W32" s="25"/>
      <c r="X32" s="26"/>
      <c r="Y32" s="25"/>
      <c r="Z32" s="30"/>
      <c r="AA32" s="29"/>
      <c r="AB32" s="24"/>
      <c r="AC32" s="25"/>
      <c r="AD32" s="26"/>
      <c r="AE32" s="25"/>
      <c r="AF32" s="30"/>
      <c r="AG32" s="29"/>
      <c r="AH32" s="24"/>
      <c r="AI32" s="25"/>
      <c r="AJ32" s="26"/>
      <c r="AK32" s="25"/>
      <c r="AL32" s="30"/>
      <c r="AM32" s="29"/>
      <c r="AN32" s="24"/>
      <c r="AO32" s="25"/>
      <c r="AP32" s="26"/>
      <c r="AQ32" s="25"/>
      <c r="AR32" s="30"/>
      <c r="AS32" s="29"/>
      <c r="AT32" s="24"/>
      <c r="AU32" s="25"/>
      <c r="AV32" s="26"/>
      <c r="AW32" s="25"/>
      <c r="AX32" s="30"/>
      <c r="AY32" s="29"/>
      <c r="AZ32" s="24"/>
      <c r="BA32" s="25"/>
      <c r="BB32" s="26"/>
      <c r="BC32" s="25"/>
      <c r="BD32" s="30"/>
      <c r="BE32" s="29"/>
      <c r="BF32" s="24"/>
      <c r="BG32" s="54">
        <v>1</v>
      </c>
      <c r="BH32" s="26"/>
      <c r="BI32" s="54">
        <v>1</v>
      </c>
      <c r="BJ32" s="54">
        <v>1</v>
      </c>
      <c r="BK32" s="29"/>
      <c r="BL32" s="24"/>
      <c r="BM32" s="25"/>
      <c r="BN32" s="26"/>
      <c r="BO32" s="25"/>
      <c r="BP32" s="30"/>
      <c r="BQ32" s="31"/>
      <c r="BR32" s="24"/>
      <c r="BS32" s="25"/>
      <c r="BT32" s="26"/>
      <c r="BU32" s="25"/>
      <c r="BV32" s="30"/>
      <c r="BW32" s="31"/>
      <c r="BX32" s="24"/>
      <c r="BY32" s="25"/>
      <c r="BZ32" s="26"/>
      <c r="CA32" s="25"/>
      <c r="CB32" s="30"/>
      <c r="CC32" s="31"/>
      <c r="CD32" s="24"/>
      <c r="CE32" s="25"/>
      <c r="CF32" s="26"/>
      <c r="CG32" s="25"/>
      <c r="CH32" s="30"/>
      <c r="CI32" s="29"/>
      <c r="CJ32" s="24"/>
      <c r="CK32" s="25"/>
      <c r="CL32" s="26"/>
      <c r="CM32" s="25"/>
      <c r="CN32" s="30"/>
      <c r="CO32" s="31"/>
      <c r="CP32" s="24"/>
      <c r="CQ32" s="25"/>
      <c r="CR32" s="26"/>
      <c r="CS32" s="25"/>
      <c r="CT32" s="30"/>
      <c r="CU32" s="31"/>
      <c r="CV32" s="24"/>
      <c r="CW32" s="25"/>
      <c r="CX32" s="26"/>
      <c r="CY32" s="25"/>
      <c r="CZ32" s="30"/>
      <c r="DA32" s="31"/>
      <c r="DB32" s="24"/>
      <c r="DC32" s="25"/>
      <c r="DD32" s="26"/>
      <c r="DE32" s="25"/>
      <c r="DF32" s="30"/>
    </row>
    <row r="33" spans="1:110" s="32" customFormat="1" ht="15" thickBot="1">
      <c r="A33" s="77" t="s">
        <v>5</v>
      </c>
      <c r="B33" s="78"/>
      <c r="C33" s="79"/>
      <c r="D33" s="98"/>
      <c r="E33" s="98"/>
      <c r="F33" s="43">
        <f>SUM(F8:F32)/2</f>
        <v>83</v>
      </c>
      <c r="G33" s="43">
        <f>SUM(G8:G32)/2</f>
        <v>73</v>
      </c>
      <c r="H33" s="43">
        <f>SUM(H8:H32)/2</f>
        <v>10</v>
      </c>
      <c r="I33" s="8"/>
      <c r="J33" s="64">
        <v>8</v>
      </c>
      <c r="K33" s="65"/>
      <c r="L33" s="65"/>
      <c r="M33" s="65"/>
      <c r="N33" s="66"/>
      <c r="P33" s="64">
        <v>8</v>
      </c>
      <c r="Q33" s="65"/>
      <c r="R33" s="65"/>
      <c r="S33" s="65"/>
      <c r="T33" s="66"/>
      <c r="V33" s="64">
        <v>8</v>
      </c>
      <c r="W33" s="65"/>
      <c r="X33" s="65"/>
      <c r="Y33" s="65"/>
      <c r="Z33" s="66"/>
      <c r="AB33" s="64">
        <v>8</v>
      </c>
      <c r="AC33" s="65"/>
      <c r="AD33" s="65"/>
      <c r="AE33" s="65"/>
      <c r="AF33" s="66"/>
      <c r="AH33" s="64">
        <v>8</v>
      </c>
      <c r="AI33" s="65"/>
      <c r="AJ33" s="65"/>
      <c r="AK33" s="65"/>
      <c r="AL33" s="66"/>
      <c r="AN33" s="64">
        <v>8</v>
      </c>
      <c r="AO33" s="65"/>
      <c r="AP33" s="65"/>
      <c r="AQ33" s="65"/>
      <c r="AR33" s="66"/>
      <c r="AT33" s="64">
        <v>8</v>
      </c>
      <c r="AU33" s="65"/>
      <c r="AV33" s="65"/>
      <c r="AW33" s="65"/>
      <c r="AX33" s="66"/>
      <c r="AZ33" s="64">
        <v>8</v>
      </c>
      <c r="BA33" s="65"/>
      <c r="BB33" s="65"/>
      <c r="BC33" s="65"/>
      <c r="BD33" s="66"/>
      <c r="BF33" s="64">
        <v>8</v>
      </c>
      <c r="BG33" s="65"/>
      <c r="BH33" s="65"/>
      <c r="BI33" s="65"/>
      <c r="BJ33" s="66"/>
      <c r="BL33" s="64">
        <v>8</v>
      </c>
      <c r="BM33" s="65"/>
      <c r="BN33" s="65"/>
      <c r="BO33" s="65"/>
      <c r="BP33" s="66"/>
      <c r="BR33" s="64">
        <v>8</v>
      </c>
      <c r="BS33" s="65"/>
      <c r="BT33" s="65"/>
      <c r="BU33" s="65"/>
      <c r="BV33" s="66"/>
      <c r="BX33" s="64">
        <v>8</v>
      </c>
      <c r="BY33" s="65"/>
      <c r="BZ33" s="65"/>
      <c r="CA33" s="65"/>
      <c r="CB33" s="66"/>
      <c r="CD33" s="64">
        <v>8</v>
      </c>
      <c r="CE33" s="65"/>
      <c r="CF33" s="65"/>
      <c r="CG33" s="65"/>
      <c r="CH33" s="66"/>
      <c r="CJ33" s="64">
        <v>8</v>
      </c>
      <c r="CK33" s="65"/>
      <c r="CL33" s="65"/>
      <c r="CM33" s="65"/>
      <c r="CN33" s="66"/>
      <c r="CP33" s="64">
        <v>8</v>
      </c>
      <c r="CQ33" s="65"/>
      <c r="CR33" s="65"/>
      <c r="CS33" s="65"/>
      <c r="CT33" s="66"/>
      <c r="CV33" s="64">
        <v>8</v>
      </c>
      <c r="CW33" s="65"/>
      <c r="CX33" s="65"/>
      <c r="CY33" s="65"/>
      <c r="CZ33" s="66"/>
      <c r="DB33" s="64">
        <v>8</v>
      </c>
      <c r="DC33" s="65"/>
      <c r="DD33" s="65"/>
      <c r="DE33" s="65"/>
      <c r="DF33" s="66"/>
    </row>
    <row r="35" spans="1:110" ht="18">
      <c r="A35" s="74" t="s">
        <v>6</v>
      </c>
      <c r="B35" s="75"/>
      <c r="C35" s="76"/>
      <c r="D35" s="96"/>
      <c r="E35" s="96"/>
      <c r="F35" s="44"/>
      <c r="K35" s="45"/>
      <c r="L35" s="45"/>
      <c r="M35" s="45"/>
      <c r="N35" s="45"/>
    </row>
    <row r="36" spans="1:110" ht="18.75" thickBot="1">
      <c r="A36" s="81">
        <v>88</v>
      </c>
      <c r="B36" s="82"/>
      <c r="C36" s="83"/>
      <c r="D36" s="97"/>
      <c r="E36" s="97"/>
      <c r="F36" s="46"/>
      <c r="G36" s="62" t="s">
        <v>0</v>
      </c>
      <c r="H36" s="62"/>
      <c r="J36" s="63" t="s">
        <v>1</v>
      </c>
      <c r="K36" s="63"/>
      <c r="L36" s="63"/>
      <c r="M36" s="63"/>
      <c r="N36" s="63"/>
      <c r="P36" s="80" t="s">
        <v>7</v>
      </c>
      <c r="Q36" s="80"/>
      <c r="R36" s="80"/>
      <c r="S36" s="80"/>
      <c r="T36" s="80"/>
    </row>
    <row r="37" spans="1:110" ht="18" hidden="1">
      <c r="A37" s="46"/>
      <c r="B37" s="46" t="b">
        <f>OR(AND(G33&lt;&gt;0,OR(F33&lt;&gt;G33,H33&lt;&gt;0)), F33&lt;&gt;88)</f>
        <v>1</v>
      </c>
      <c r="C37" s="46"/>
      <c r="D37" s="46"/>
      <c r="E37" s="46"/>
      <c r="F37" s="46"/>
      <c r="G37" s="46"/>
      <c r="H37" s="46"/>
    </row>
    <row r="38" spans="1:110" ht="18">
      <c r="A38" s="46"/>
      <c r="B38" s="46"/>
      <c r="C38" s="46"/>
      <c r="D38" s="46"/>
      <c r="E38" s="46"/>
      <c r="F38" s="46"/>
      <c r="G38" s="46"/>
      <c r="H38" s="46"/>
    </row>
  </sheetData>
  <mergeCells count="98">
    <mergeCell ref="BL33:BP33"/>
    <mergeCell ref="BR33:BV33"/>
    <mergeCell ref="BX33:CB33"/>
    <mergeCell ref="CD33:CH33"/>
    <mergeCell ref="BL6:BP6"/>
    <mergeCell ref="BR6:BV6"/>
    <mergeCell ref="BX6:CB6"/>
    <mergeCell ref="CD6:CH6"/>
    <mergeCell ref="BL7:BM7"/>
    <mergeCell ref="BO7:BP7"/>
    <mergeCell ref="BR7:BS7"/>
    <mergeCell ref="BU7:BV7"/>
    <mergeCell ref="BX7:BY7"/>
    <mergeCell ref="CA7:CB7"/>
    <mergeCell ref="CD7:CE7"/>
    <mergeCell ref="CG7:CH7"/>
    <mergeCell ref="CP6:CT6"/>
    <mergeCell ref="CP7:CQ7"/>
    <mergeCell ref="CS7:CT7"/>
    <mergeCell ref="CP33:CT33"/>
    <mergeCell ref="CV6:CZ6"/>
    <mergeCell ref="CV7:CW7"/>
    <mergeCell ref="CY7:CZ7"/>
    <mergeCell ref="CV33:CZ33"/>
    <mergeCell ref="P36:T36"/>
    <mergeCell ref="A24:C24"/>
    <mergeCell ref="A36:C36"/>
    <mergeCell ref="AH6:AL6"/>
    <mergeCell ref="DB6:DF6"/>
    <mergeCell ref="DB33:DF33"/>
    <mergeCell ref="CJ6:CN6"/>
    <mergeCell ref="AN6:AR6"/>
    <mergeCell ref="AT6:AX6"/>
    <mergeCell ref="AZ6:BD6"/>
    <mergeCell ref="P6:T6"/>
    <mergeCell ref="V6:Z6"/>
    <mergeCell ref="AB6:AF6"/>
    <mergeCell ref="BF6:BJ6"/>
    <mergeCell ref="CJ33:CN33"/>
    <mergeCell ref="J33:N33"/>
    <mergeCell ref="P33:T33"/>
    <mergeCell ref="A27:C27"/>
    <mergeCell ref="A29:C29"/>
    <mergeCell ref="A14:C14"/>
    <mergeCell ref="A19:C19"/>
    <mergeCell ref="A20:C20"/>
    <mergeCell ref="A21:C21"/>
    <mergeCell ref="A22:C22"/>
    <mergeCell ref="A23:C23"/>
    <mergeCell ref="A26:C26"/>
    <mergeCell ref="A28:C28"/>
    <mergeCell ref="A15:C15"/>
    <mergeCell ref="A16:C16"/>
    <mergeCell ref="A17:C17"/>
    <mergeCell ref="J6:N6"/>
    <mergeCell ref="A6:C6"/>
    <mergeCell ref="A11:C11"/>
    <mergeCell ref="A35:C35"/>
    <mergeCell ref="AZ33:BD33"/>
    <mergeCell ref="V33:Z33"/>
    <mergeCell ref="AB33:AF33"/>
    <mergeCell ref="AH33:AL33"/>
    <mergeCell ref="AN33:AR33"/>
    <mergeCell ref="AT33:AX33"/>
    <mergeCell ref="A33:C33"/>
    <mergeCell ref="J7:K7"/>
    <mergeCell ref="G36:H36"/>
    <mergeCell ref="J36:N36"/>
    <mergeCell ref="BF33:BJ33"/>
    <mergeCell ref="A8:C8"/>
    <mergeCell ref="A12:C12"/>
    <mergeCell ref="A13:C13"/>
    <mergeCell ref="A18:C18"/>
    <mergeCell ref="A32:C32"/>
    <mergeCell ref="A31:C31"/>
    <mergeCell ref="A30:C30"/>
    <mergeCell ref="A25:C25"/>
    <mergeCell ref="AN7:AO7"/>
    <mergeCell ref="M7:N7"/>
    <mergeCell ref="P7:Q7"/>
    <mergeCell ref="V7:W7"/>
    <mergeCell ref="S7:T7"/>
    <mergeCell ref="Y7:Z7"/>
    <mergeCell ref="AB7:AC7"/>
    <mergeCell ref="AE7:AF7"/>
    <mergeCell ref="AH7:AI7"/>
    <mergeCell ref="AK7:AL7"/>
    <mergeCell ref="DE7:DF7"/>
    <mergeCell ref="BC7:BD7"/>
    <mergeCell ref="BF7:BG7"/>
    <mergeCell ref="BI7:BJ7"/>
    <mergeCell ref="CJ7:CK7"/>
    <mergeCell ref="CM7:CN7"/>
    <mergeCell ref="AQ7:AR7"/>
    <mergeCell ref="AT7:AU7"/>
    <mergeCell ref="AW7:AX7"/>
    <mergeCell ref="AZ7:BA7"/>
    <mergeCell ref="DB7:DC7"/>
  </mergeCells>
  <conditionalFormatting sqref="H9:H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6:E36">
    <cfRule type="expression" dxfId="0" priority="4">
      <formula>$B$37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83" orientation="landscape" r:id="rId1"/>
  <ignoredErrors>
    <ignoredError sqref="F19:H19 F26:H26 F31:H3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ce2242-de0e-49ba-92ee-ef753a60f7e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9A5B74D621340BAEE935CE26D06A2" ma:contentTypeVersion="16" ma:contentTypeDescription="Crée un document." ma:contentTypeScope="" ma:versionID="6328cc32d451bbd148d12d315c7be42e">
  <xsd:schema xmlns:xsd="http://www.w3.org/2001/XMLSchema" xmlns:xs="http://www.w3.org/2001/XMLSchema" xmlns:p="http://schemas.microsoft.com/office/2006/metadata/properties" xmlns:ns3="16ce2242-de0e-49ba-92ee-ef753a60f7e2" xmlns:ns4="0fd45921-aafa-4799-a628-06e3087808f0" targetNamespace="http://schemas.microsoft.com/office/2006/metadata/properties" ma:root="true" ma:fieldsID="58f22569bf62320d5b1ce9852cce9645" ns3:_="" ns4:_="">
    <xsd:import namespace="16ce2242-de0e-49ba-92ee-ef753a60f7e2"/>
    <xsd:import namespace="0fd45921-aafa-4799-a628-06e3087808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e2242-de0e-49ba-92ee-ef753a60f7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d45921-aafa-4799-a628-06e3087808f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50F4CC-DC28-49D6-BCBB-394E717A835D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0fd45921-aafa-4799-a628-06e3087808f0"/>
    <ds:schemaRef ds:uri="http://schemas.microsoft.com/office/2006/documentManagement/types"/>
    <ds:schemaRef ds:uri="16ce2242-de0e-49ba-92ee-ef753a60f7e2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B23BD21-6C87-4F50-A25A-38E531846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E4209E-2DA6-4083-B0DF-B16FF528D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e2242-de0e-49ba-92ee-ef753a60f7e2"/>
    <ds:schemaRef ds:uri="0fd45921-aafa-4799-a628-06e30878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Dina</dc:creator>
  <cp:keywords/>
  <dc:description/>
  <cp:lastModifiedBy>Zuber Dina</cp:lastModifiedBy>
  <cp:revision/>
  <dcterms:created xsi:type="dcterms:W3CDTF">2018-02-05T15:28:24Z</dcterms:created>
  <dcterms:modified xsi:type="dcterms:W3CDTF">2026-08-20T16:01:22Z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0x010100E1F9A5B74D621340BAEE935CE26D06A2</vt:lpwstr>
  </property>
</Properties>
</file>